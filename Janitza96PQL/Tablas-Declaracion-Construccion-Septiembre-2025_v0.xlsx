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comisionenergia-my.sharepoint.com/personal/onedrive-subdeptpar_cne_cl/Documents/DeC/01 Resoluciones Exentas/09-Septiembre 2025/"/>
    </mc:Choice>
  </mc:AlternateContent>
  <xr:revisionPtr revIDLastSave="107" documentId="8_{1B002594-A7F3-45CB-A59C-542F45528DA0}" xr6:coauthVersionLast="47" xr6:coauthVersionMax="47" xr10:uidLastSave="{3C553A32-F4CD-46F9-8E41-FC2E1858A61B}"/>
  <bookViews>
    <workbookView xWindow="49170" yWindow="-4710" windowWidth="29040" windowHeight="15720" tabRatio="673" activeTab="4" xr2:uid="{00000000-000D-0000-FFFF-FFFF00000000}"/>
  </bookViews>
  <sheets>
    <sheet name="Portada" sheetId="2" r:id="rId1"/>
    <sheet name="Indice" sheetId="3" r:id="rId2"/>
    <sheet name="PMGD" sheetId="4" r:id="rId3"/>
    <sheet name="P.Generación" sheetId="5" r:id="rId4"/>
    <sheet name="BESS" sheetId="17" r:id="rId5"/>
    <sheet name="P.Generación SSMM" sheetId="6" r:id="rId6"/>
    <sheet name="ON_STxN" sheetId="7" r:id="rId7"/>
    <sheet name="OA_STxN" sheetId="8" r:id="rId8"/>
    <sheet name="ON_STxZ" sheetId="9" r:id="rId9"/>
    <sheet name="OA_STxZ" sheetId="10" r:id="rId10"/>
    <sheet name="OA_D418" sheetId="13" r:id="rId11"/>
    <sheet name="OEO_D418" sheetId="12" r:id="rId12"/>
    <sheet name="ON_D418" sheetId="14" r:id="rId13"/>
    <sheet name="OPyM_ST" sheetId="11" r:id="rId14"/>
    <sheet name="Art.102" sheetId="15" r:id="rId15"/>
  </sheets>
  <definedNames>
    <definedName name="_xlnm._FilterDatabase" localSheetId="14" hidden="1">Art.102!$A$3:$H$23</definedName>
    <definedName name="_xlnm._FilterDatabase" localSheetId="4" hidden="1">BESS!$B$3:$P$55</definedName>
    <definedName name="_xlnm._FilterDatabase" localSheetId="10" hidden="1">OA_D418!$B$4:$F$4</definedName>
    <definedName name="_xlnm._FilterDatabase" localSheetId="7" hidden="1">OA_STxN!$A$3:$G$32</definedName>
    <definedName name="_xlnm._FilterDatabase" localSheetId="9" hidden="1">OA_STxZ!$B$3:$G$89</definedName>
    <definedName name="_xlnm._FilterDatabase" localSheetId="11" hidden="1">OEO_D418!$B$4:$F$6</definedName>
    <definedName name="_xlnm._FilterDatabase" localSheetId="12" hidden="1">ON_D418!$B$4:$F$19</definedName>
    <definedName name="_xlnm._FilterDatabase" localSheetId="6" hidden="1">ON_STxN!$B$3:$G$3</definedName>
    <definedName name="_xlnm._FilterDatabase" localSheetId="8" hidden="1">ON_STxZ!$B$3:$G$39</definedName>
    <definedName name="_xlnm._FilterDatabase" localSheetId="13" hidden="1">OPyM_ST!$B$3:$H$43</definedName>
    <definedName name="_xlnm._FilterDatabase" localSheetId="3" hidden="1">P.Generación!$B$3:$L$55</definedName>
    <definedName name="_xlnm._FilterDatabase" localSheetId="2" hidden="1">PMGD!$B$3:$L$166</definedName>
    <definedName name="_ftn1" localSheetId="2">PMGD!#REF!</definedName>
    <definedName name="_ftnref1" localSheetId="2">PMGD!#REF!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1" i="17" l="1"/>
  <c r="L35" i="17"/>
  <c r="L42" i="17" l="1"/>
  <c r="L29" i="17" l="1"/>
</calcChain>
</file>

<file path=xl/sharedStrings.xml><?xml version="1.0" encoding="utf-8"?>
<sst xmlns="http://schemas.openxmlformats.org/spreadsheetml/2006/main" count="3017" uniqueCount="1509">
  <si>
    <t>INSTALACIONES DECLARADAS EN CONSTRUCCIÓN</t>
  </si>
  <si>
    <t>SUBDEPARTAMENTO DE PROYECTOS Y ACCESO A LA RED.</t>
  </si>
  <si>
    <t>DEPARTAMENTO ELÉCTRICO. CHILE. 2025.</t>
  </si>
  <si>
    <t>ÍNDICE</t>
  </si>
  <si>
    <t>I. Proyectos de Pequeños Medios de Generación Distribuidos en Construcción en el Sistema Eléctrico Nacional</t>
  </si>
  <si>
    <t>II. Proyectos de Generación en Construcción en el Sistema Eléctrico Nacional</t>
  </si>
  <si>
    <t>III. Proyectos de Generación en Construcción en Sistemas Medianos</t>
  </si>
  <si>
    <t>IV. Proyectos de Obras Nuevas del Sistema de Transmisión Nacional</t>
  </si>
  <si>
    <t>V. Proyectos de Obras de Ampliación del Sistema de Transmisión Nacional</t>
  </si>
  <si>
    <t>VI. Proyectos de Obras Nuevas del Sistema de Transmisión Zonal</t>
  </si>
  <si>
    <t>VII. Proyectos de Obras de Ampliación del Sistema de Transmisión Zonal</t>
  </si>
  <si>
    <t>VIII. Proyectos de los Sistemas de Transmisión Zonal de ejecución obligatoria, en construcción al 31 de octubre de 2016, de conformidad al artículo 1° de Decreto Exento N° 418/2017</t>
  </si>
  <si>
    <t>IX. Proyectos de obras de ampliación de los Sistemas de Transmisión Zonal de conformidad al artículo 2° de Decreto Exento N° 418/2017, que cuentan con decreto de adjudicación</t>
  </si>
  <si>
    <t>X. Proyectos de obras nuevas de los Sistemas de Transmisión Zonal de acuerdo al artículo 3° de Decreto Exento N° 418/2017, que cuentan con decreto de adjudicación</t>
  </si>
  <si>
    <t>XI. Otros Proyectos y Modificaciones en los Sistemas de Transmisión Nacional, Zonal y Dedicados</t>
  </si>
  <si>
    <t>XII. Proyectos autorizados de acuerdo al artículo 102° de la Ley</t>
  </si>
  <si>
    <t>Proyecto</t>
  </si>
  <si>
    <t>Propietario</t>
  </si>
  <si>
    <t>Resolución Original DeC - CNE</t>
  </si>
  <si>
    <t>Fecha Original de Inteconexión</t>
  </si>
  <si>
    <t>Fecha Estimada de Interconexión</t>
  </si>
  <si>
    <t>Tipo de Tecnología</t>
  </si>
  <si>
    <t>Potencia Neta [MW]</t>
  </si>
  <si>
    <t>Capacidad Instalada [MW]</t>
  </si>
  <si>
    <t>Ubicación</t>
  </si>
  <si>
    <t>Punto de conexión</t>
  </si>
  <si>
    <t>Nota</t>
  </si>
  <si>
    <t>PE El Cruce</t>
  </si>
  <si>
    <t>El Cruce SpA</t>
  </si>
  <si>
    <t>286/2020</t>
  </si>
  <si>
    <t>PMGD Eólico</t>
  </si>
  <si>
    <t>Región de Los Lagos</t>
  </si>
  <si>
    <t>Alimentador Los Puentes 23 kV, S/E Aihuapi</t>
  </si>
  <si>
    <t xml:space="preserve">A la fecha de emisión de la presente Resolución, el proyecto presenta un incumplimiento de los hitos de su cronograma, pudiendo contemplarse en su caso la posible revocación de la declaración en construcción, conforme lo establecido en el artículo 72°-17 de la Ley General de Servicios Eléctricos. (*) </t>
  </si>
  <si>
    <t>PE OCHS</t>
  </si>
  <si>
    <t>OCHS SpA</t>
  </si>
  <si>
    <t>226/2020</t>
  </si>
  <si>
    <t>Alimentador Puerto Octay 23 kV, S/E Pichil</t>
  </si>
  <si>
    <t>A la fecha de emisión de la presente Resolución, el proyecto presenta un incumplimiento de los hitos de su cronograma. La acreditación de una causa justificada por parte del respectivo titular, en los casos que ello haya sido solicitado, será resuelto y notificado por la Comisión mediante el respectivo acto administrativo, pudiendo contemplarse en su caso la posible revocación de la declaración en construcción, conforme lo establecido en el artículo 72°-17 de la Ley General de Servicios Eléctricos.</t>
  </si>
  <si>
    <t>PMGD Techos Solares Watts</t>
  </si>
  <si>
    <t>Solarity SpA</t>
  </si>
  <si>
    <t>57/2021</t>
  </si>
  <si>
    <t>PMGD Fotovoltaico</t>
  </si>
  <si>
    <t>Región Metropolitana de Santiago</t>
  </si>
  <si>
    <t>Alimentador La Divisa 12 kV, S/E Panamericana</t>
  </si>
  <si>
    <t>PMGD FV Jacarandá</t>
  </si>
  <si>
    <t>Jacaranda SpA</t>
  </si>
  <si>
    <t>137/2021</t>
  </si>
  <si>
    <t>Región de Coquimbo</t>
  </si>
  <si>
    <t>Alimentador Industrial 13,2 kV, S/E Combarbalá</t>
  </si>
  <si>
    <t>PMGD FV Cancura II Solar</t>
  </si>
  <si>
    <t>Libertador Solar 7 SpA</t>
  </si>
  <si>
    <t>Región de La Araucanía</t>
  </si>
  <si>
    <t>Alimentador Imperial Ciudad 23 kV, S/E Nueva Imperial</t>
  </si>
  <si>
    <t>A la fecha de emisión de la presente Resolución, el proyecto presenta un incumplimiento de los hitos de su cronograma, pudiendo contemplarse en su caso la posible revocación de la declaración en construcción, conforme lo establecido en el artículo 72°-17 de la Ley General de Servicios Eléctricos. (*)</t>
  </si>
  <si>
    <t>PMGD FV Nanco</t>
  </si>
  <si>
    <t>Libertador Solar 4 SpA</t>
  </si>
  <si>
    <t>171/2021</t>
  </si>
  <si>
    <t>Alimentador Victoria 13,2 kV, S/E Victoria</t>
  </si>
  <si>
    <t>PMGD FV Quillén I</t>
  </si>
  <si>
    <t>Libertador Solar 10 SpA</t>
  </si>
  <si>
    <t>Alimentador Lautaro 13,2 kV, S/E Lautaro</t>
  </si>
  <si>
    <t>PMGD FV Doña Victoria</t>
  </si>
  <si>
    <t>Libertador Solar 2 SpA</t>
  </si>
  <si>
    <t>Alimentador Victoria Ciudad 13,2 kV, S/E Victoria</t>
  </si>
  <si>
    <t>PMGD Parque FV Quilleco</t>
  </si>
  <si>
    <t>Armando Solar SpA</t>
  </si>
  <si>
    <t>642/2022</t>
  </si>
  <si>
    <t>Región del Biobío</t>
  </si>
  <si>
    <t>Alimentador Colbún 23 kV, S/E Rucúe</t>
  </si>
  <si>
    <t>Parque Fotovoltaico Orilla del Maule</t>
  </si>
  <si>
    <t>Champa Solar SpA</t>
  </si>
  <si>
    <t>502/2021</t>
  </si>
  <si>
    <t>Región del Maule</t>
  </si>
  <si>
    <t>Alimentador Orilla del Maule 15 kV, S/E La Palma</t>
  </si>
  <si>
    <t>PMGD FV Don Gerardo</t>
  </si>
  <si>
    <t>Libertador Solar 11 SpA</t>
  </si>
  <si>
    <t>295/2021</t>
  </si>
  <si>
    <t>Alimentador Campo de Marte 13,2 kV, S/E Deuco</t>
  </si>
  <si>
    <t>PMGD San Yolando</t>
  </si>
  <si>
    <t>Isidora Solar SpA</t>
  </si>
  <si>
    <t>159/2022</t>
  </si>
  <si>
    <t>Alimentador Maipú 15 kV, S/E Chacahuín</t>
  </si>
  <si>
    <t>Parque Los Huertos</t>
  </si>
  <si>
    <t>Parque Solar Alagua SpA</t>
  </si>
  <si>
    <t>302/2022</t>
  </si>
  <si>
    <t>Alimentador Proacer 2 23 kV, S/E El Manzano Enel</t>
  </si>
  <si>
    <t>PMGD FV Watt's Lonquén</t>
  </si>
  <si>
    <t>498/2020</t>
  </si>
  <si>
    <t>Alimentador Puerta Sur 23 kV, S/E Las Acacias</t>
  </si>
  <si>
    <t>Chocalan 1</t>
  </si>
  <si>
    <t>Aggreko Chile Limitada</t>
  </si>
  <si>
    <t>572/2022</t>
  </si>
  <si>
    <t>PMGD Diésel</t>
  </si>
  <si>
    <t>Alimentador Puente Marambio 13,2 kV, S/E Chocalán</t>
  </si>
  <si>
    <t>PMGD Parque Kali</t>
  </si>
  <si>
    <t>Parque Solar Kali SpA</t>
  </si>
  <si>
    <t>351/2022</t>
  </si>
  <si>
    <t>Alimentador Peñuela 13,2 kV, S/E Yerbas Buenas</t>
  </si>
  <si>
    <t>PMGD Parque Alsol</t>
  </si>
  <si>
    <t>Parque Solar Alsol SpA</t>
  </si>
  <si>
    <t>290/2022</t>
  </si>
  <si>
    <t>Alimentador Proacer 1 23 kV, S/E El Manzano Enel</t>
  </si>
  <si>
    <t>Central Hidroeléctrica Moraga</t>
  </si>
  <si>
    <t>José Luis Moraga SpA</t>
  </si>
  <si>
    <t>31/2022</t>
  </si>
  <si>
    <t>PMGD Hidro - Pasada</t>
  </si>
  <si>
    <t>Alimentador Rarinco 23 kV, S/E El Avellano</t>
  </si>
  <si>
    <t>Lothar I</t>
  </si>
  <si>
    <t>Lothar I SpA</t>
  </si>
  <si>
    <t>776/2022</t>
  </si>
  <si>
    <t>Región de Valparaíso</t>
  </si>
  <si>
    <t>Alimentador San Isidro 12 kV, S/E San Pedro CTNG</t>
  </si>
  <si>
    <t>Quebrada del Sol</t>
  </si>
  <si>
    <t>Quebrada El Sol SpA</t>
  </si>
  <si>
    <t>214/2022</t>
  </si>
  <si>
    <t>Alimentador Chacabuco 12 kV, S/E San Rafael Chilquinta</t>
  </si>
  <si>
    <t>A la fecha de emisión de la presente Resolución, el proyecto presenta un incumplimiento de los hitos de su cronograma. La acreditación de una causa justificada por parte del respectivo titular, en los casos que ello haya sido solicitado, será resuelto y notificado por la Comisión mediante el respectivo acto administrativo, pudiendo contemplarse en su caso la posible revocación de la declaración en construcción, conforme lo establecido en el artículo 72°-17 de la Ley General de Servicios Eléctricos.
-Potencia limitada por capacidad de inversores según lo indicado por la empresa en carta aclaratoria de 1 de febrero de 2022.</t>
  </si>
  <si>
    <t>Rari Solar</t>
  </si>
  <si>
    <t>Solares de Santa Elena SpA</t>
  </si>
  <si>
    <t>216/2022</t>
  </si>
  <si>
    <t>Alimentador Panimávida 13,2 kV, S/E Panimávida</t>
  </si>
  <si>
    <t>PMGD CE Rio Maule</t>
  </si>
  <si>
    <t>Cox Rio Maule SpA</t>
  </si>
  <si>
    <t>665/2022</t>
  </si>
  <si>
    <t>Alimentador Las Rosas 15 kV, S/E La Palma</t>
  </si>
  <si>
    <t>Tepu</t>
  </si>
  <si>
    <t>Tepu SpA</t>
  </si>
  <si>
    <t>766/2022</t>
  </si>
  <si>
    <t>Región de Ñuble</t>
  </si>
  <si>
    <t>Alimentador Ñiquén 13,2 kV, S/E San Gregorio</t>
  </si>
  <si>
    <t>Planta Fotovoltaica Dolores</t>
  </si>
  <si>
    <t>La Cuesta Solar SpA</t>
  </si>
  <si>
    <t>297/2022</t>
  </si>
  <si>
    <t>Región de Tarapacá</t>
  </si>
  <si>
    <t>Alimentador Negreiros 23 kV, S/E Dolores</t>
  </si>
  <si>
    <t>LUN</t>
  </si>
  <si>
    <t xml:space="preserve"> LUN SpA</t>
  </si>
  <si>
    <t>645/2022</t>
  </si>
  <si>
    <t>Alimentador Mataquito 13,2 kV, S/E Curicó</t>
  </si>
  <si>
    <t>Miracea</t>
  </si>
  <si>
    <t>Miracea SpA</t>
  </si>
  <si>
    <t>Alimentador Paso Hondo 13,2 kV, S/E Paso Hondo</t>
  </si>
  <si>
    <t>Coihue</t>
  </si>
  <si>
    <t>Coihue SpA</t>
  </si>
  <si>
    <t>Alimentador Retiro 13,2 kV, S/E Parral</t>
  </si>
  <si>
    <t>Ampliación Monte</t>
  </si>
  <si>
    <t>Callaqui de Verano SpA</t>
  </si>
  <si>
    <t>Alimentador Naltagua 13,2 kV, S/E El Monte</t>
  </si>
  <si>
    <t>Frangel</t>
  </si>
  <si>
    <t>Frangel SpA</t>
  </si>
  <si>
    <t>Alimentador Bullileo 13,2 kV, S/E Parral</t>
  </si>
  <si>
    <t>Planta Fotovoltaica Salamanca</t>
  </si>
  <si>
    <t>Maite Solar SpA</t>
  </si>
  <si>
    <t>482/2022</t>
  </si>
  <si>
    <t>Alimentador Varoli 15 kV, S/E Talca</t>
  </si>
  <si>
    <t>Planta Fotovoltaica Michilla</t>
  </si>
  <si>
    <t>Michilla Solar SpA</t>
  </si>
  <si>
    <t>666/2022</t>
  </si>
  <si>
    <t>Región de Antofagasta</t>
  </si>
  <si>
    <t>Alimentador Michilla 23 kV, S/E El Lince</t>
  </si>
  <si>
    <t>Parque Solar Alpha</t>
  </si>
  <si>
    <t>Parque Solar Alpha SpA</t>
  </si>
  <si>
    <t>Alimentador Tantehue 13,2 kV, S/E Mandinga</t>
  </si>
  <si>
    <t>Central Hidroeléctrica San José</t>
  </si>
  <si>
    <t>583/2021</t>
  </si>
  <si>
    <t>CE Canteras</t>
  </si>
  <si>
    <t>Cielpanel SpA</t>
  </si>
  <si>
    <t>545/2022</t>
  </si>
  <si>
    <t>Alimentador Alemania 15 kV, S/E Manso de Velasco</t>
  </si>
  <si>
    <t>Tarwi</t>
  </si>
  <si>
    <t>Tarwi SpA</t>
  </si>
  <si>
    <t>Alimentador Industrial 13,2 kV, S/E Curicó</t>
  </si>
  <si>
    <t>Planta Fotovoltaica El Manzano</t>
  </si>
  <si>
    <t>Energía El Manzano SpA</t>
  </si>
  <si>
    <t xml:space="preserve">Alimentador Proacer 1 23 kV, S/E El Manzano Enel </t>
  </si>
  <si>
    <t>PMGD Codorniz</t>
  </si>
  <si>
    <t>Codorniz SpA</t>
  </si>
  <si>
    <t>192/2022</t>
  </si>
  <si>
    <t>Alimentador Curepto 13,2 kV, S/E Licantén</t>
  </si>
  <si>
    <t>Mano Solar</t>
  </si>
  <si>
    <t>CVE Proyecto Catorce SpA</t>
  </si>
  <si>
    <t>581/2022</t>
  </si>
  <si>
    <t>Alimentador Tulahuen 13,2 kV, S/E Monte Patria</t>
  </si>
  <si>
    <t>Momo Solar</t>
  </si>
  <si>
    <t>Alimentador Bellavista 23 kV, S/E Monte Patria</t>
  </si>
  <si>
    <t>Solferino Solar</t>
  </si>
  <si>
    <t>CVE Proyecto Cuarenta y Siete SpA</t>
  </si>
  <si>
    <t>675/2022</t>
  </si>
  <si>
    <t>Alimentador Alto Hospicio 23 kV, S/E Tamarugal</t>
  </si>
  <si>
    <t>Amancay</t>
  </si>
  <si>
    <t>Amancay SpA</t>
  </si>
  <si>
    <t>Alimentador Los Queñes 13,2 kV, S/E Curicó</t>
  </si>
  <si>
    <t>Parque Solar Estelar Etapa 1</t>
  </si>
  <si>
    <t>Parque Solar Estelar SpA</t>
  </si>
  <si>
    <t>Alimentador A236 Los Sauces Lumaco 23 kV, S/E Los Sauces</t>
  </si>
  <si>
    <t>Cóndor Las Minillas II</t>
  </si>
  <si>
    <t>Parque Fotovoltaico Penablanca SpA</t>
  </si>
  <si>
    <t>661/2022</t>
  </si>
  <si>
    <t>Alimentador Putaendo 12 kV, S/E San Felipe</t>
  </si>
  <si>
    <t>LEN</t>
  </si>
  <si>
    <t>LEN SpA</t>
  </si>
  <si>
    <t>456/2022</t>
  </si>
  <si>
    <t>Alimentador La Obra - Zapallar 13,2 kV, S/E Curicó</t>
  </si>
  <si>
    <t>Planta Fotovoltaica Los Lirios de Chumaquito</t>
  </si>
  <si>
    <t>Lirios de Chumaquito SpA</t>
  </si>
  <si>
    <t>Región del Libertador General Bernardo O’Higgins</t>
  </si>
  <si>
    <t>Alimentador Los Lirios 15 kV, S/E Chumaquito</t>
  </si>
  <si>
    <t>Parque Solar Pequén</t>
  </si>
  <si>
    <t>Parque Solar Pequen SpA</t>
  </si>
  <si>
    <t>Alimentador A113 Cholguán Yungay 23 kV, S/E Cholguán</t>
  </si>
  <si>
    <t>Central Hidroeléctrica San Luis</t>
  </si>
  <si>
    <t>32/2022</t>
  </si>
  <si>
    <t>PFV Las Garzas</t>
  </si>
  <si>
    <t>PFV Las Garzas SpA</t>
  </si>
  <si>
    <t>673/2022</t>
  </si>
  <si>
    <t>Alimentador El Trapiche 15 kV, S/E La Ronda</t>
  </si>
  <si>
    <t>Arenisca</t>
  </si>
  <si>
    <t>Arenisca Solar SpA</t>
  </si>
  <si>
    <t>495/2022</t>
  </si>
  <si>
    <t>Alimentador Hospicio 23 kV, S/E Tamarugal</t>
  </si>
  <si>
    <t>PFV La Cotorra</t>
  </si>
  <si>
    <t>PFV La Cotorra SpA</t>
  </si>
  <si>
    <t>671/2022</t>
  </si>
  <si>
    <t>Alimentador Pablo Neruda 13,2 kV, S/E Parral</t>
  </si>
  <si>
    <t>PMGD EA SF El Canelo_3</t>
  </si>
  <si>
    <t>Energía Renovable Marron SpA</t>
  </si>
  <si>
    <t>Alimentador Trafalgar 13,8 kV, S/E San Clemente CGE</t>
  </si>
  <si>
    <t>PMGD Viñedos</t>
  </si>
  <si>
    <t>Alto Cautín SpA</t>
  </si>
  <si>
    <t>Alimentador Aguas Claras 23 kV, S/E Lo Boza</t>
  </si>
  <si>
    <t>Quilvo</t>
  </si>
  <si>
    <t>Nicolás Solar SpA</t>
  </si>
  <si>
    <t>Alimentador Guaico 13,2 kV, S/E Rauquén</t>
  </si>
  <si>
    <t>Montenegro Solar</t>
  </si>
  <si>
    <t>Toconce SpA</t>
  </si>
  <si>
    <t>670/2022</t>
  </si>
  <si>
    <t>Alimentador Rungue 23 kV, S/E Rungue</t>
  </si>
  <si>
    <t>Fundo San Isidro</t>
  </si>
  <si>
    <t>FSI Solar SpA</t>
  </si>
  <si>
    <t>Alimentador Diaguita 23 kV, S/E Vicuña</t>
  </si>
  <si>
    <t>Los Plumeros</t>
  </si>
  <si>
    <t>Los Plumeros SpA</t>
  </si>
  <si>
    <t>Waraira</t>
  </si>
  <si>
    <t>Waraira SpA</t>
  </si>
  <si>
    <t>Alimentador Guadalao 23 kV, S/E Portezuelo</t>
  </si>
  <si>
    <t>Margarita Solar</t>
  </si>
  <si>
    <t>CVE Proyecto Doce SpA</t>
  </si>
  <si>
    <t>Alimentador Challay 15 kV, S/E Hospital</t>
  </si>
  <si>
    <t>Fontana del Verano Solar</t>
  </si>
  <si>
    <t>Tocorpuri del Verano SpA</t>
  </si>
  <si>
    <t>732/2022</t>
  </si>
  <si>
    <t>Alimentador Tres Montes 15 kV, S/E San Fernando</t>
  </si>
  <si>
    <t>Porota Solar</t>
  </si>
  <si>
    <t>Porota Solar SpA</t>
  </si>
  <si>
    <t>Alimentador Tabolango 12,5 kV, S/E Concón</t>
  </si>
  <si>
    <t>PMGD FV Imperial Solar</t>
  </si>
  <si>
    <t>Libertador Solar 6 SpA</t>
  </si>
  <si>
    <t>111/2022</t>
  </si>
  <si>
    <t>Alimentador Barros Arana 23 kV, S/E Nueva Imperial</t>
  </si>
  <si>
    <t>PMGD Violeta Solar</t>
  </si>
  <si>
    <t>Libertador Solar 8 SpA</t>
  </si>
  <si>
    <t>730/2022</t>
  </si>
  <si>
    <t>Alimentador Quillem 23 kV, S/E Lautaro</t>
  </si>
  <si>
    <t>Planta Fotovoltaica Maule X</t>
  </si>
  <si>
    <t>Tielmes Energía SpA</t>
  </si>
  <si>
    <t>Alimentador Duao 15 kV, S/E Talca</t>
  </si>
  <si>
    <t>Planta Solar Fotovoltaica Pichidangui</t>
  </si>
  <si>
    <t>Sungate Energía SpA</t>
  </si>
  <si>
    <t>648/2022</t>
  </si>
  <si>
    <t>Alimentador Cavilolen 23 kV, S/E Quereo</t>
  </si>
  <si>
    <t>Cerro Colorado</t>
  </si>
  <si>
    <t>Kepler Fotovoltaica SpA</t>
  </si>
  <si>
    <t>225/2023</t>
  </si>
  <si>
    <t>Parque Fotovoltaico La Rosa de Sharon</t>
  </si>
  <si>
    <t>La Rosa de Sharon SpA</t>
  </si>
  <si>
    <t>Alimentador Lolenco 12 kV, S/E Curacaví</t>
  </si>
  <si>
    <t>Drux II</t>
  </si>
  <si>
    <t>Nain Solar SpA</t>
  </si>
  <si>
    <t>492/2022</t>
  </si>
  <si>
    <t>Alimentador Rucatremo 13,2 kV, S/E Curicó</t>
  </si>
  <si>
    <t>PMGD FV Linares San Antonio</t>
  </si>
  <si>
    <t>Venus Solar SpA</t>
  </si>
  <si>
    <t>Alimentador San Antonio 15 kV, S/E Chacahuín</t>
  </si>
  <si>
    <t>Atacalco 1</t>
  </si>
  <si>
    <t>Alhué Solar SpA</t>
  </si>
  <si>
    <t>Alimentador Invernada 23 kV, S/E Recinto</t>
  </si>
  <si>
    <t>Lo Conty</t>
  </si>
  <si>
    <t>Maui Solar SpA</t>
  </si>
  <si>
    <t>Alimentador Lo Conty 15 kV, S/E Cachapoal</t>
  </si>
  <si>
    <t>Los Toldos</t>
  </si>
  <si>
    <t>Los Toldos SpA</t>
  </si>
  <si>
    <t>266/2021</t>
  </si>
  <si>
    <t>Alimentador Los Sauces Lumaco 23 kV, S/E Los Sauces</t>
  </si>
  <si>
    <t>Santa Eugenia</t>
  </si>
  <si>
    <t>Santa Eugenia SpA</t>
  </si>
  <si>
    <t>23/2022</t>
  </si>
  <si>
    <t>Alimentador Angol Los Sauces 23 kV, S/E Angol</t>
  </si>
  <si>
    <t>Aggreko RM Quilicura 14.2</t>
  </si>
  <si>
    <t>569/2023</t>
  </si>
  <si>
    <t>Alimentador Totoral 23 kV, S/E Chacabuco</t>
  </si>
  <si>
    <t>Vichuquén Santa Elena</t>
  </si>
  <si>
    <t>Lobo Solar SpA</t>
  </si>
  <si>
    <t>733/2022</t>
  </si>
  <si>
    <t>Alimentador Vichuquén 23 kV, S/E Licantén</t>
  </si>
  <si>
    <t>PMGD Andes 1</t>
  </si>
  <si>
    <t>Gencorp Limitada</t>
  </si>
  <si>
    <t>208/2023</t>
  </si>
  <si>
    <t>PMGD GNL/GLP</t>
  </si>
  <si>
    <t>Alimentador Liray 23 kV, S/E Batuco</t>
  </si>
  <si>
    <t>PMGD El Araucano</t>
  </si>
  <si>
    <t>Solar Araucano SpA</t>
  </si>
  <si>
    <t>376/2023</t>
  </si>
  <si>
    <t>Alimentador Negrete Mulchen 23 kV, S/E Negrete</t>
  </si>
  <si>
    <t>Las Tablas</t>
  </si>
  <si>
    <t>Las Tablas Solar SpA</t>
  </si>
  <si>
    <t>Región de Atacama</t>
  </si>
  <si>
    <t>Alimentador Freirina 13,8 kV, S/E Huasco</t>
  </si>
  <si>
    <t>PMGD FV Salamanca</t>
  </si>
  <si>
    <t>Marte Solar SpA</t>
  </si>
  <si>
    <t>209/2021</t>
  </si>
  <si>
    <t>Alimentador Manquehua 23 kV, S/E Salamanca</t>
  </si>
  <si>
    <t>LGS Solar</t>
  </si>
  <si>
    <t>Solar Las Golondrinas SpA</t>
  </si>
  <si>
    <t>319/2021</t>
  </si>
  <si>
    <t>Alimentador Negrete Mulchén 23 kV, S/E Negrete</t>
  </si>
  <si>
    <t>Estancilla</t>
  </si>
  <si>
    <t>Fotovoltaica Estancilla SpA</t>
  </si>
  <si>
    <t>208/2022</t>
  </si>
  <si>
    <t>Alimentador Puchuncaví 13,2 kV, S/E Marbella</t>
  </si>
  <si>
    <t>Chilca Solar</t>
  </si>
  <si>
    <t>Chilca Solar SpA</t>
  </si>
  <si>
    <t>Región de Los Ríos</t>
  </si>
  <si>
    <t>Alimentador Los Tambores 13,2 kV, S/E Los Tambores</t>
  </si>
  <si>
    <t>PMGD FV El Raco</t>
  </si>
  <si>
    <t>Solar TI Veinte SpA</t>
  </si>
  <si>
    <t>Alimentador Huaqui 13,2 kV, S/E Los Ángeles CGE</t>
  </si>
  <si>
    <t>Don Renato</t>
  </si>
  <si>
    <t>Fotovoltaica Don Renato SpA</t>
  </si>
  <si>
    <t>193/2022</t>
  </si>
  <si>
    <t>Alimentador Humeres 23 kV, S/E Cabildo</t>
  </si>
  <si>
    <t>PV Fito 3</t>
  </si>
  <si>
    <t>Tantehu 3 SpA</t>
  </si>
  <si>
    <t>125/2023</t>
  </si>
  <si>
    <t>Alimentador Piedra Colgada 23 kV, S/E Hernán Fuentes</t>
  </si>
  <si>
    <t>Arrebol</t>
  </si>
  <si>
    <t>Aiboa Solar SpA</t>
  </si>
  <si>
    <t>457/2022</t>
  </si>
  <si>
    <t>Alimentador Pintados 23 kV, S/E Lagunas</t>
  </si>
  <si>
    <t>Unifrutti Teno 1</t>
  </si>
  <si>
    <t>252/2024</t>
  </si>
  <si>
    <t>Alimentador Morza 13,2 kV, S/E quinta</t>
  </si>
  <si>
    <t>Planta Solar Los Pétalos</t>
  </si>
  <si>
    <t>Planta Solar Los Pétalos SpA</t>
  </si>
  <si>
    <t>274/2023</t>
  </si>
  <si>
    <t>Alimentador Los Pétalos 12 kV S/E Mariscal</t>
  </si>
  <si>
    <t>El Carmelo (Ex Carmesí)</t>
  </si>
  <si>
    <t>El Carmelo Solar SpA</t>
  </si>
  <si>
    <t>Alimentador El Carmelo 23 kV, S/E Pozo Almonte</t>
  </si>
  <si>
    <t>A la fecha de emisión de la presente Resolución, el proyecto presenta un incumplimiento de los hitos de su cronograma. La acreditación de una causa justificada por parte del respectivo titular, en los casos que ello haya sido solicitado, será resuelto y notificado por la Comisión mediante el respectivo acto administrativo, pudiendo contemplarse en su caso la posible revocación de la declaración en construcción, conforme lo establecido en el artículo 72°-17 de la Ley General de Servicios Eléctricos. (*)</t>
  </si>
  <si>
    <t>PMGD Tres Aguas</t>
  </si>
  <si>
    <t>Espinos S.A.</t>
  </si>
  <si>
    <t>647/2022</t>
  </si>
  <si>
    <t>Alimentador Quilaco 13,2 kV, S/E Santa Bárbara</t>
  </si>
  <si>
    <t>PMGD CH2 Butalcura</t>
  </si>
  <si>
    <t>Wind 2 SpA</t>
  </si>
  <si>
    <t>45/2023</t>
  </si>
  <si>
    <t>Alimentador Butalcura 23 kV, S/E Degañ</t>
  </si>
  <si>
    <t>CH1 Butalcura</t>
  </si>
  <si>
    <t>Wind 1 SpA</t>
  </si>
  <si>
    <t>46/2023</t>
  </si>
  <si>
    <t>Parque Eólico Lebu Norte</t>
  </si>
  <si>
    <t>Parque Eólico Lebu Norte SpA</t>
  </si>
  <si>
    <t>Alimentador Curanilahue Foraction 23 kV, S/E Curanilahue</t>
  </si>
  <si>
    <t>PMGD Las Mercedes 01</t>
  </si>
  <si>
    <t>204/2024</t>
  </si>
  <si>
    <t>Alimentador Bosque 12 kV, S/E Placilla</t>
  </si>
  <si>
    <t>Lúcumo</t>
  </si>
  <si>
    <t>Lúcumo SpA</t>
  </si>
  <si>
    <t>374/2021</t>
  </si>
  <si>
    <t>Alimentador Linares Norte 13,2 kV, S/E Linares Norte</t>
  </si>
  <si>
    <t>PMGD El Guindal</t>
  </si>
  <si>
    <t>Cox el Guindal SpA</t>
  </si>
  <si>
    <t>420/2023</t>
  </si>
  <si>
    <t>Región del Libertador General Bernardo O'Higgins</t>
  </si>
  <si>
    <t>Alimentador El Guindal 15 kV, S/E Machalí</t>
  </si>
  <si>
    <t>PMGD CE Machalí</t>
  </si>
  <si>
    <t>Cox Machalí SpA</t>
  </si>
  <si>
    <t>422/2023</t>
  </si>
  <si>
    <t>Alimentador La Vinilla 15 kV, S/E Machalí</t>
  </si>
  <si>
    <t>San Serapio</t>
  </si>
  <si>
    <t>Sol de Sur 2 SpA</t>
  </si>
  <si>
    <t>486/2022</t>
  </si>
  <si>
    <t>Alimentador Piedras Blancas 13,8 kV, S/E Talca</t>
  </si>
  <si>
    <t>Proyecto Fotovoltaico Diego de Almagro</t>
  </si>
  <si>
    <t>Santa María de Diego de Almagro SpA</t>
  </si>
  <si>
    <t>Alimentador Diego de Almagro 23 kV, S/E Diego de Almagro</t>
  </si>
  <si>
    <t>Artemisa Solar</t>
  </si>
  <si>
    <t>CVE Proyecto Treinta y Tres SpA</t>
  </si>
  <si>
    <t>592/2022</t>
  </si>
  <si>
    <t>Alimentador Santa Blanca 15 kV, S/E San Francisco de Mostazal</t>
  </si>
  <si>
    <t>PFV La Quintrala</t>
  </si>
  <si>
    <t>PFV La Quintrala SpA</t>
  </si>
  <si>
    <t>Alimentador Trebulco 12 kV, S/E Isla de Maipo</t>
  </si>
  <si>
    <t>PFV Las Gaviotas</t>
  </si>
  <si>
    <t>PFV Las Gaviotas SpA</t>
  </si>
  <si>
    <t>194/2022</t>
  </si>
  <si>
    <t>Alimentador La Antena 13,2 kV, S/E San Joaquín CGE</t>
  </si>
  <si>
    <t>Planta Solar Aguas Claras</t>
  </si>
  <si>
    <t>Planta Solar Aguas Claras SpA</t>
  </si>
  <si>
    <t>481/2022</t>
  </si>
  <si>
    <t>Alimentador Parinacota 23 kV, S/E Lo Boza</t>
  </si>
  <si>
    <t>Las Hortencias</t>
  </si>
  <si>
    <t>Aurora Solar SpA</t>
  </si>
  <si>
    <t>641/2022</t>
  </si>
  <si>
    <t>Alimentador El Bajo 13,8 kV, S/E San Rafael CGE</t>
  </si>
  <si>
    <t>Parque Eólico Gaw</t>
  </si>
  <si>
    <t>PE GAW SpA</t>
  </si>
  <si>
    <t>440/2024</t>
  </si>
  <si>
    <t>PMGD Cuarto Menguante</t>
  </si>
  <si>
    <t>Per Llullaillaco SpA</t>
  </si>
  <si>
    <t>339/2024</t>
  </si>
  <si>
    <t>Alimentador A1 - Montenegro 13,2 kV, S/E Montenegro</t>
  </si>
  <si>
    <t>PMGD Dreams Valdivia II</t>
  </si>
  <si>
    <t>Empresas Lipigas S.A.</t>
  </si>
  <si>
    <t>330/2020</t>
  </si>
  <si>
    <t>Alimentador Errázuriz 23 kV, S/E Picarte</t>
  </si>
  <si>
    <t>Elvira (Ex PMGD Elvira 7b)</t>
  </si>
  <si>
    <t>Tedlar Mercurio SpA</t>
  </si>
  <si>
    <t>Alimentador Almagro 15 kV, S/E Santa Elvira</t>
  </si>
  <si>
    <t>Ceres Solar</t>
  </si>
  <si>
    <t>CVE Proyecto Treinta y Cinco SpA</t>
  </si>
  <si>
    <t>235/2022</t>
  </si>
  <si>
    <t>Alimentador Santo Domingo 12 kV, S/E San Antonio</t>
  </si>
  <si>
    <t>Planta Solar El Membrillar</t>
  </si>
  <si>
    <t>Planta Solar El Membillar SpA</t>
  </si>
  <si>
    <t>391/2023</t>
  </si>
  <si>
    <t>Alimentador Requínoa 15 kV, S/E Cachapoal</t>
  </si>
  <si>
    <t>PMGD Lirio Solar</t>
  </si>
  <si>
    <t>CVE Proyecto Veinticinco SpA</t>
  </si>
  <si>
    <t>Alimentador San Juan 23 kV, S/E San Antonio</t>
  </si>
  <si>
    <t>Los Sauces Solar I</t>
  </si>
  <si>
    <t>Los Sauces Solar I SpA</t>
  </si>
  <si>
    <t>77/2022</t>
  </si>
  <si>
    <t>Alimentador Los Sauces Purén 23 kV, S/E Los Sauces</t>
  </si>
  <si>
    <t>Parronal II</t>
  </si>
  <si>
    <t>Sol del Sur 8 SpA</t>
  </si>
  <si>
    <t>490/2022</t>
  </si>
  <si>
    <t>Alimentador Roblería 13,2 kV, S/E Nahuelbuta</t>
  </si>
  <si>
    <t>Ceresuela</t>
  </si>
  <si>
    <t>Ceresuela Solar SpA</t>
  </si>
  <si>
    <t>178/2022</t>
  </si>
  <si>
    <t>Alimentador Pampino 23 kV, S/E Pozo Almonte</t>
  </si>
  <si>
    <t>Planta Fotovoltaica Alcázar</t>
  </si>
  <si>
    <t>Juan Solar SpA</t>
  </si>
  <si>
    <t>573/2022</t>
  </si>
  <si>
    <t>Alimentador Alcázar 15 kV, S/E Los Ángeles CGE</t>
  </si>
  <si>
    <t>Parque Fotovoltaico Lince</t>
  </si>
  <si>
    <t>Orion Solar SpA</t>
  </si>
  <si>
    <t>Alimentador Industrial 23 kV, S/E La Negra</t>
  </si>
  <si>
    <t>Planta Fotovoltaica Chiloé</t>
  </si>
  <si>
    <t>Miguel Solar SpA</t>
  </si>
  <si>
    <t>449/2022</t>
  </si>
  <si>
    <t>Alimentador Rauco 13,2 kV, S/E Curicó</t>
  </si>
  <si>
    <t>-
-Capacidad instalada de acuerdo a Resolución Exenta Nº 216 del Servicio de Evaluación Ambiental (SEA) de 16 de septiembre de 2020.</t>
  </si>
  <si>
    <t>La Sierra II</t>
  </si>
  <si>
    <t>La Sierra SpA</t>
  </si>
  <si>
    <t>299/2022</t>
  </si>
  <si>
    <t>Alimentador Sierra Gorda 23 kV, S/E El Tesoro</t>
  </si>
  <si>
    <t>Mulchén Santa Bárbara 1</t>
  </si>
  <si>
    <t>Tierra Solar SpA</t>
  </si>
  <si>
    <t>721/2022</t>
  </si>
  <si>
    <t>Alimentador Picoltué Santa Bárbara 23 kV, S/E Picoltué</t>
  </si>
  <si>
    <t>Parque Las Penitas</t>
  </si>
  <si>
    <t>La Pena Solar SpA</t>
  </si>
  <si>
    <t>195/2022</t>
  </si>
  <si>
    <t>Alimentador La Calera 12 kV, S/E La Calera</t>
  </si>
  <si>
    <t>Planta Fotovoltaica Ballota</t>
  </si>
  <si>
    <t>Manzanares Energía SpA</t>
  </si>
  <si>
    <t>Alimentador Longaví Oriente 13,2 kV, S/E Longaví</t>
  </si>
  <si>
    <t>Hefesto Solar</t>
  </si>
  <si>
    <t>CVE Proyecto Veintisiete SpA</t>
  </si>
  <si>
    <t>579/2022</t>
  </si>
  <si>
    <t>Alimentador Faenadora 15 kV, S/E Lo Miranda</t>
  </si>
  <si>
    <t>PMGD Santa Marta</t>
  </si>
  <si>
    <t>Santa Marta SpA</t>
  </si>
  <si>
    <t>137/2024</t>
  </si>
  <si>
    <t>Alimentador Carampangue 23 kV, S/E Isla de Maipo</t>
  </si>
  <si>
    <t>PRP Marver</t>
  </si>
  <si>
    <t>Inmobiliaria Marver Ltda.</t>
  </si>
  <si>
    <t>208/2025</t>
  </si>
  <si>
    <t>Alimentador Cañal Bajo 23 kV, S/E Barro Blanco</t>
  </si>
  <si>
    <t>PMGD Chagual Solar</t>
  </si>
  <si>
    <t>CVE Proyecto Treinta SpA</t>
  </si>
  <si>
    <t>Planta Fotovoltaica Rivazzurra Solar</t>
  </si>
  <si>
    <t>Rivazzurra Solar SpA</t>
  </si>
  <si>
    <t>442/2024</t>
  </si>
  <si>
    <t>PMGD Fotovoltaico + BESS</t>
  </si>
  <si>
    <t>Alimentador Las Brisas 23 kV, S/E San Antonio</t>
  </si>
  <si>
    <t>Concorde (Ex Salar Dos)</t>
  </si>
  <si>
    <t>El Condor Solar SpA</t>
  </si>
  <si>
    <t>243/2022</t>
  </si>
  <si>
    <t>Alimentador El Salado 23 kV, S/E El Salado</t>
  </si>
  <si>
    <t>PMGD Alerce Gas</t>
  </si>
  <si>
    <t>Innovación Energía S.A.</t>
  </si>
  <si>
    <t>346/2025</t>
  </si>
  <si>
    <t>Alimentador A563 Panitao 23 kV, S/E Alto Bonito</t>
  </si>
  <si>
    <t>PSF Las Violetas</t>
  </si>
  <si>
    <t>PSF Las Violetas SpA</t>
  </si>
  <si>
    <t>253/2024</t>
  </si>
  <si>
    <t>Alimentador Las Brisas 12 kV, S/E Padre Hurtado</t>
  </si>
  <si>
    <t>PMGD Parque Tacna</t>
  </si>
  <si>
    <t>Parque Solar Panguilemo SpA</t>
  </si>
  <si>
    <t>215/2022</t>
  </si>
  <si>
    <t>Región de Arica y Parinacota</t>
  </si>
  <si>
    <t>Alimentador Norte 13,8 kV, S/E Quiani</t>
  </si>
  <si>
    <t>Planta Fotovoltaica Livorno Solar</t>
  </si>
  <si>
    <t>Livorno Solar SpA</t>
  </si>
  <si>
    <t>527/2024</t>
  </si>
  <si>
    <t>Alimentador Llay Llay 12 kV, S/E Las Vegas</t>
  </si>
  <si>
    <t>PSF San Ramón</t>
  </si>
  <si>
    <t>PSF San Ramon SpA</t>
  </si>
  <si>
    <t>663/2024</t>
  </si>
  <si>
    <t>Alimentador Puertas de Fierro 15 kV, S/E Punta Cortes</t>
  </si>
  <si>
    <t>Parque Solar Gamma</t>
  </si>
  <si>
    <t>Parque Solar Gamma SpA</t>
  </si>
  <si>
    <t>144/2025</t>
  </si>
  <si>
    <t>Alimentador Negrete Nacimiento, S/E Negrete 23 lV</t>
  </si>
  <si>
    <t>PMGD Diesel Quetalmahue</t>
  </si>
  <si>
    <t>Bepatagonia Generación S.A.</t>
  </si>
  <si>
    <t>207/2025</t>
  </si>
  <si>
    <t>Alimentador Quetalmahue 23 kV, S/E Ancud</t>
  </si>
  <si>
    <t>BESS Los Quilos</t>
  </si>
  <si>
    <t>PSF Los Quilos SpA</t>
  </si>
  <si>
    <t>403/2025</t>
  </si>
  <si>
    <t>Alimentador Diego Portales 15 kV, S/E Alameda</t>
  </si>
  <si>
    <t>PMGD Chicureo Solar</t>
  </si>
  <si>
    <t>Ciudad Luz Chicureo Solar SpA</t>
  </si>
  <si>
    <t>445/2022</t>
  </si>
  <si>
    <t>Alimentador Piedra Roja 23 kV, S/E Chicureo</t>
  </si>
  <si>
    <t>Planta Solar La Puntilla</t>
  </si>
  <si>
    <t>Planta Solar La Puntilla SpA</t>
  </si>
  <si>
    <t>67/2024</t>
  </si>
  <si>
    <t>Alimentador Maipo 15 kV, S/E Buin</t>
  </si>
  <si>
    <t>Planta Fotovoltaica Monza Solar</t>
  </si>
  <si>
    <t>Monza Solar SpA</t>
  </si>
  <si>
    <t>91/2025</t>
  </si>
  <si>
    <t>Alimentador El Tabo 12 kV, S/E San Sebastián</t>
  </si>
  <si>
    <t>Las Loicas</t>
  </si>
  <si>
    <t>Las Loicas Energía SpA</t>
  </si>
  <si>
    <t>276/2025</t>
  </si>
  <si>
    <t>Alimentador Rafael 23 kV, S/E Tomé</t>
  </si>
  <si>
    <t>Parque Solar Dos Pinos</t>
  </si>
  <si>
    <t>Zelble SpA</t>
  </si>
  <si>
    <t>387/2024</t>
  </si>
  <si>
    <t>Alimentador Dos Pinos 23 kV, S/E Marquesa</t>
  </si>
  <si>
    <t>Parque Eólico El Alemán</t>
  </si>
  <si>
    <t>Parque Eolico El Aleman SpA</t>
  </si>
  <si>
    <t>338/2024</t>
  </si>
  <si>
    <t>Alimentador Balmaceda 23 kV, S/E Valdivia</t>
  </si>
  <si>
    <t>Planta Solar Santa Isidora</t>
  </si>
  <si>
    <t>Planta Solar Santa Isidora SpA</t>
  </si>
  <si>
    <t>218/2024</t>
  </si>
  <si>
    <t>Alimentador Cerro Chena 12 kV, S/E San Bernardo</t>
  </si>
  <si>
    <t>PMGD Espejo</t>
  </si>
  <si>
    <t>Alimentador Chorrillos 23 kV, S/E Lo Boza</t>
  </si>
  <si>
    <t>Ampelo Solar</t>
  </si>
  <si>
    <t>CVE Proyecto Cuarenta y Dos</t>
  </si>
  <si>
    <t>511/2024</t>
  </si>
  <si>
    <t>Alimentador Alto Jahuel 15 kV, S/E Buin</t>
  </si>
  <si>
    <t>Planta Fotovoltaica Limachino</t>
  </si>
  <si>
    <t>PFV Limachino SpA</t>
  </si>
  <si>
    <t>698/2024</t>
  </si>
  <si>
    <t>Alimentador Huanhualí 12kV, S/E Peñablanca</t>
  </si>
  <si>
    <t>PMGD Quebrada del Sol</t>
  </si>
  <si>
    <t>Quebrada del Sol SpA</t>
  </si>
  <si>
    <t>728/2022</t>
  </si>
  <si>
    <t>Alimentador Pueblo Baquedano 23 kV, S/E Mantos Blancos</t>
  </si>
  <si>
    <t>PMGD San Francisco</t>
  </si>
  <si>
    <t>San Francisco SpA</t>
  </si>
  <si>
    <t>Alimentador Biocobre 13,2 kV, S/E Plantas</t>
  </si>
  <si>
    <t>PMGD Chungungo Solar</t>
  </si>
  <si>
    <t>Chungungo Solar SpA</t>
  </si>
  <si>
    <t>Alimentador El Way 23 kV, S/E La Negra</t>
  </si>
  <si>
    <t>Paihuen</t>
  </si>
  <si>
    <t>Yumbrel Solar SpA</t>
  </si>
  <si>
    <t>452/2022</t>
  </si>
  <si>
    <t>Alimentador Cerrillos 13,2 kV, S/E El Peñón</t>
  </si>
  <si>
    <t>Proyecto Fotovoltaico Modificación Sierra Soleada</t>
  </si>
  <si>
    <t>Inmobiliaria e Inversiones Los Coihues S.A.</t>
  </si>
  <si>
    <t>Alimentador Inca de Oro 23 kV, S/E Diego de Almagro</t>
  </si>
  <si>
    <t>Purranque 1</t>
  </si>
  <si>
    <t>Windkraft Purranque 1 SpA</t>
  </si>
  <si>
    <t>577/2024</t>
  </si>
  <si>
    <t>Alimentador Purranque Oromo 13,2 kV, S/E Purranque</t>
  </si>
  <si>
    <t>Planta Solar San Juan</t>
  </si>
  <si>
    <t>Planta Solar San Juan SpA</t>
  </si>
  <si>
    <t>255/2025</t>
  </si>
  <si>
    <t>Alimentador San Carlos 13,2 kV, S/E Chillán</t>
  </si>
  <si>
    <t>Planta Fotovoltaica Modena Solar</t>
  </si>
  <si>
    <t>Modena Solar SpA</t>
  </si>
  <si>
    <t>17/2025</t>
  </si>
  <si>
    <t>Alimentador Cartagena 12 kV, S/E San Sebastián</t>
  </si>
  <si>
    <t>Parque Solar Aris</t>
  </si>
  <si>
    <t>Parque Solar Aris SpA</t>
  </si>
  <si>
    <t>331/2025</t>
  </si>
  <si>
    <t>Alimentador San Ignacio 13,2 kV, S/E Montenegro</t>
  </si>
  <si>
    <t>Sol de Valle Hermoso</t>
  </si>
  <si>
    <t>Las Palmas FV SpA</t>
  </si>
  <si>
    <t>252/2025</t>
  </si>
  <si>
    <t>Alimentador Puntal de Tralca 12 kV, S/E El Totoral</t>
  </si>
  <si>
    <t>Parque fotovoltaico El Peñon</t>
  </si>
  <si>
    <t>El Peñón SpA</t>
  </si>
  <si>
    <t>206/2025</t>
  </si>
  <si>
    <t>Alimentador Guanaqueros 23 kV, S/E El Peñón</t>
  </si>
  <si>
    <t>PMGD Parque Roque</t>
  </si>
  <si>
    <t>Parque Solar Roque SpA</t>
  </si>
  <si>
    <t>440/2022</t>
  </si>
  <si>
    <t>Alimentador Galaxia 23 kV, S/E Santa Marta</t>
  </si>
  <si>
    <t>Parque Sg Inés - Montaña</t>
  </si>
  <si>
    <t>Parque Solar Montaña SpA</t>
  </si>
  <si>
    <t>586/2022</t>
  </si>
  <si>
    <t>Alimentador Batuco 23 kV, S/E Batuco</t>
  </si>
  <si>
    <t>Parque Fotovoltaico Pichirropulli</t>
  </si>
  <si>
    <t>Energía Renovable Agata SpA</t>
  </si>
  <si>
    <t>93/2025</t>
  </si>
  <si>
    <t>Alimentador Futrono 23 kV, alimentador Pichirropulli</t>
  </si>
  <si>
    <t>Parque Fotovoltaico Nueva Paillaco</t>
  </si>
  <si>
    <t>Energia Renovable Lapislazuli SpA</t>
  </si>
  <si>
    <t>308/2025</t>
  </si>
  <si>
    <t>Alimentador 52C1 Paillaco 13,2 kV, S/E Paillaco</t>
  </si>
  <si>
    <t>Purranque 2</t>
  </si>
  <si>
    <t>Windkraft Purranque 2 SpA</t>
  </si>
  <si>
    <t>283/2025</t>
  </si>
  <si>
    <t>feb-27</t>
  </si>
  <si>
    <t>Alimentador Purranque Centro 13,2 kV, S/E Purranque</t>
  </si>
  <si>
    <t>nov-25</t>
  </si>
  <si>
    <t>PMGD Latorre Sunlight</t>
  </si>
  <si>
    <t>Latorre Sunlight SpA</t>
  </si>
  <si>
    <t>nov-26</t>
  </si>
  <si>
    <t>Alimentador Latorre 23 kV, S/E Calama</t>
  </si>
  <si>
    <t>PFV Charrabata 2</t>
  </si>
  <si>
    <t>GR Alerce Costero SpA</t>
  </si>
  <si>
    <t>Alimentador Hijuelas 12 kV, S/E La Calera</t>
  </si>
  <si>
    <t>(*) Proyecto presentó solicitud de modificación de cronograma, la cual fue rechazada por la Comisión al carecer de causa justificada, acorde a lo señalado en el artículo 72°-17 de la Ley General de Servicios Eléctricos y los artículos 23° y 24° del Reglamento de la Coordinación y Operación del Sistema Eléctrico Nacional, así como lo indicado en los artículos 71° y 72° del Reglamento de MGPE, según corresponda.</t>
  </si>
  <si>
    <t>Trupán</t>
  </si>
  <si>
    <t>Asociación de Canalistas del Canal Zañartu</t>
  </si>
  <si>
    <t>694/2018</t>
  </si>
  <si>
    <t>Hidro – Pasada</t>
  </si>
  <si>
    <t>Torre 121 Línea Abanico – Charrúa 154 kV</t>
  </si>
  <si>
    <t>Eólico</t>
  </si>
  <si>
    <t>Planta Fotovoltaica Buenaventura (Ex Planta Fotovoltaica Condor)</t>
  </si>
  <si>
    <t>GR Peumo SpA</t>
  </si>
  <si>
    <t>390/2022</t>
  </si>
  <si>
    <t>PMG Fotovoltaico</t>
  </si>
  <si>
    <t>S/E Lagunas 23 kV</t>
  </si>
  <si>
    <t>Planta Fotovoltaica Ckontor</t>
  </si>
  <si>
    <t>GR Toromiro SpA</t>
  </si>
  <si>
    <t>S/E Mantos Blancos 23 kV</t>
  </si>
  <si>
    <t>PMG Santa Barbara</t>
  </si>
  <si>
    <t>Santa Barbara SpA</t>
  </si>
  <si>
    <t>564/2022</t>
  </si>
  <si>
    <t>S/E Hualte 66 kV</t>
  </si>
  <si>
    <t>PMG Caliche</t>
  </si>
  <si>
    <t>Solar TI Veintitrés SpA</t>
  </si>
  <si>
    <t>145/2022</t>
  </si>
  <si>
    <t>S/E Encuentro 23 kV</t>
  </si>
  <si>
    <t>Ampliación Central Hidroeléctrica Dos Valles (4,5 MW)</t>
  </si>
  <si>
    <t>Hidroeléctrica Dos Valles SpA</t>
  </si>
  <si>
    <t>PMG Hidro - Pasada</t>
  </si>
  <si>
    <t>S/E Dos Valles 23 kV</t>
  </si>
  <si>
    <t>Planta Fotovoltaica Yellowstone – Etapa 1</t>
  </si>
  <si>
    <t>GR Kewiña SpA</t>
  </si>
  <si>
    <t>S/E Marchigüe 13,2 kV</t>
  </si>
  <si>
    <t>La Sierra (Ex PMG El Tesoro)</t>
  </si>
  <si>
    <t>Andino Solar SpA</t>
  </si>
  <si>
    <t>238/2022</t>
  </si>
  <si>
    <t>S/E El Tesoro 23 kV</t>
  </si>
  <si>
    <t>PMG Itahue</t>
  </si>
  <si>
    <t>PFV Itahue SpA</t>
  </si>
  <si>
    <t>S/E Itahue 66 kV</t>
  </si>
  <si>
    <t>Planta Fotovoltaica Yellowstone – Etapa 2</t>
  </si>
  <si>
    <t>PSF Caimanes</t>
  </si>
  <si>
    <t>Generadora Caimanes SpA</t>
  </si>
  <si>
    <t>570/2022</t>
  </si>
  <si>
    <t>S/E Los Vilos 23 kV</t>
  </si>
  <si>
    <t>PMG San Marcos</t>
  </si>
  <si>
    <t>Solarpack Chile Limitada</t>
  </si>
  <si>
    <t>48/2023</t>
  </si>
  <si>
    <t>PMG Fotovoltaico + BESS</t>
  </si>
  <si>
    <t xml:space="preserve">3 MWp Solar + 1 MW, 2.3 MWh Baterías </t>
  </si>
  <si>
    <t>S/E Parinacota 13,8 kV</t>
  </si>
  <si>
    <t>Ñuble</t>
  </si>
  <si>
    <t>Hidroeléctrica Ñuble SpA</t>
  </si>
  <si>
    <t>&lt;2015</t>
  </si>
  <si>
    <t>S/I</t>
  </si>
  <si>
    <t>S/E Ancoa 220 kV</t>
  </si>
  <si>
    <t>PMG Parque Doña Carmen RM</t>
  </si>
  <si>
    <t>Parque Solar Doña Carmen SpA</t>
  </si>
  <si>
    <t>295/2022</t>
  </si>
  <si>
    <t>S/E Santa Marta 23 kV</t>
  </si>
  <si>
    <t>Libertad II</t>
  </si>
  <si>
    <t>Libertad SpA</t>
  </si>
  <si>
    <t>842/2022</t>
  </si>
  <si>
    <t>Solar Fotovoltaico</t>
  </si>
  <si>
    <t>S/E Agrosuper 23 kV</t>
  </si>
  <si>
    <t>Libertad III</t>
  </si>
  <si>
    <t>843/2022</t>
  </si>
  <si>
    <t>Ampliación Central Gas Teno 10 MW</t>
  </si>
  <si>
    <t>Innovacion Energía S.A.</t>
  </si>
  <si>
    <t>35/2024</t>
  </si>
  <si>
    <t>Diésel</t>
  </si>
  <si>
    <t>S/E Aguas Claras 66 kV</t>
  </si>
  <si>
    <t>PMG San Bernardo</t>
  </si>
  <si>
    <t>Parque Solar Convento SpA</t>
  </si>
  <si>
    <t>350/2022</t>
  </si>
  <si>
    <t>S/E Monterrico 66 kV</t>
  </si>
  <si>
    <t>Doña Luzma</t>
  </si>
  <si>
    <t>Energias Alcones SpA</t>
  </si>
  <si>
    <t>419/2023</t>
  </si>
  <si>
    <t>S/E Alcones 66 kV</t>
  </si>
  <si>
    <t>Parque Fotovoltaico Sol de Vallenar</t>
  </si>
  <si>
    <t>El Sol de Vallenar SpA</t>
  </si>
  <si>
    <t>S/E Algarrobal 220 kV</t>
  </si>
  <si>
    <t>Planta Fotovoltaica Aurora Solar</t>
  </si>
  <si>
    <t>Tamarugal Solar SpA</t>
  </si>
  <si>
    <t>123/2023</t>
  </si>
  <si>
    <t>S/E Granja Solar 220 kV</t>
  </si>
  <si>
    <t>Parque Eólico Caman - Etapa 1</t>
  </si>
  <si>
    <t>AR Caman SpA</t>
  </si>
  <si>
    <t>S/E Cerros de Huichahue 220 kV</t>
  </si>
  <si>
    <t>PFV Gabriela + BESS</t>
  </si>
  <si>
    <t>GR Lenga SpA</t>
  </si>
  <si>
    <t>18/2024</t>
  </si>
  <si>
    <t>Solar Fotovoltaico + BESS</t>
  </si>
  <si>
    <t>260,7 MWp Solar + 220 MW, 1100 MWh Baterías</t>
  </si>
  <si>
    <t>Tap Off LT 1x220 kV El Cobre-Gaby</t>
  </si>
  <si>
    <t>Planta Fotovoltaica Zaturno</t>
  </si>
  <si>
    <t>GR Morro Moreno SpA</t>
  </si>
  <si>
    <t>S/E Capricornio 13,8 kV</t>
  </si>
  <si>
    <t>jul-25</t>
  </si>
  <si>
    <t>9,0</t>
  </si>
  <si>
    <t>PFV Hijuela</t>
  </si>
  <si>
    <t>CMS SPVI SpA</t>
  </si>
  <si>
    <t>458/2024</t>
  </si>
  <si>
    <t>S/E Vallenar 13,8 kV</t>
  </si>
  <si>
    <t>PFV El Olivar</t>
  </si>
  <si>
    <t>CMS SPVII SpA</t>
  </si>
  <si>
    <t>459/2024</t>
  </si>
  <si>
    <t>Planta Fotovoltaica Mirador</t>
  </si>
  <si>
    <t>GR Conguillio SpA</t>
  </si>
  <si>
    <t>S/E Travesía 23 kV</t>
  </si>
  <si>
    <t>Planta Fotovoltaica Travesía</t>
  </si>
  <si>
    <t>GR Nahuelbuta SpA</t>
  </si>
  <si>
    <t>PFV Cachiyuyo</t>
  </si>
  <si>
    <t>Parque Solar Cachiyuyo SpA</t>
  </si>
  <si>
    <t>590/2023</t>
  </si>
  <si>
    <t>Tap off LT 1x110 kV Pajonales - Dos Amigos</t>
  </si>
  <si>
    <t/>
  </si>
  <si>
    <t>PFV Víctor Jara</t>
  </si>
  <si>
    <t>GR Chañar SpA</t>
  </si>
  <si>
    <t>337/2024</t>
  </si>
  <si>
    <t>S/E Pozo Almonte 220 kV</t>
  </si>
  <si>
    <t>PV Libélula</t>
  </si>
  <si>
    <t>ENGIE Energía Chile S.A.</t>
  </si>
  <si>
    <t>627/2024</t>
  </si>
  <si>
    <t>S/E El Manzano 220 kV</t>
  </si>
  <si>
    <t>Parque Eólico Cancura</t>
  </si>
  <si>
    <t>PE Cancura SpA</t>
  </si>
  <si>
    <t>650/2024</t>
  </si>
  <si>
    <t>S/E Seccionadora Cancura 66 kV</t>
  </si>
  <si>
    <t>Planta Fotovoltaica Calderaza</t>
  </si>
  <si>
    <t>Manzano Solar SpA</t>
  </si>
  <si>
    <t>292/2022</t>
  </si>
  <si>
    <t>S/E Caldera 23 kV</t>
  </si>
  <si>
    <t>PFV Qanqiña</t>
  </si>
  <si>
    <t>Qanqiña SpA</t>
  </si>
  <si>
    <t>571/2024</t>
  </si>
  <si>
    <t>Tap Off LT 1x110 Pozo Almonte - Cerro Colorado</t>
  </si>
  <si>
    <t>Cala Morritos</t>
  </si>
  <si>
    <t>Cala Morritos Power SpA</t>
  </si>
  <si>
    <t>526/2024</t>
  </si>
  <si>
    <t>S/E Punta Sierra 220 kV</t>
  </si>
  <si>
    <t>PV Estepa Solar</t>
  </si>
  <si>
    <t>Estepa Solar SpA</t>
  </si>
  <si>
    <t>25/2025</t>
  </si>
  <si>
    <t>S/E Crucero 220 kV</t>
  </si>
  <si>
    <t>Parque Fotovoltaico Alcones</t>
  </si>
  <si>
    <t>RA Solar SpA</t>
  </si>
  <si>
    <t>529/2024</t>
  </si>
  <si>
    <t>S/E Portezuelo 110 kV</t>
  </si>
  <si>
    <t>PE Pemuco</t>
  </si>
  <si>
    <t>86/2025</t>
  </si>
  <si>
    <t>S/E Entre Ríos 220 kV</t>
  </si>
  <si>
    <t>PE Pampa Fidelia Etapa 1</t>
  </si>
  <si>
    <t>88/2025</t>
  </si>
  <si>
    <t>S/E Parinas 220 kV</t>
  </si>
  <si>
    <t>PE Pampa Fidelia Etapa 2</t>
  </si>
  <si>
    <t>CH Los Lagos</t>
  </si>
  <si>
    <t>Empresa Eléctrica Pilmaiquén S.A.</t>
  </si>
  <si>
    <t>Región de Los Ríos y Región de Los Lagos</t>
  </si>
  <si>
    <t>Nueva S/E Seccionadora Carimallin 220 kV, en Línea 1x220 kV Rucatayo – Pichirrahue</t>
  </si>
  <si>
    <t>Cristales</t>
  </si>
  <si>
    <t>Cristales SpA</t>
  </si>
  <si>
    <t>321/2025</t>
  </si>
  <si>
    <t>MonteMina 1x220 kV Cristales – MonteMina 24,4 km</t>
  </si>
  <si>
    <t>CRCA Luna de Verano</t>
  </si>
  <si>
    <t>PFV Domeyko SpA</t>
  </si>
  <si>
    <t>197/2025</t>
  </si>
  <si>
    <t>S/E Agua Amarga 220 kV</t>
  </si>
  <si>
    <t>Peldehue Solar</t>
  </si>
  <si>
    <t xml:space="preserve">Peldehue Solar SpA </t>
  </si>
  <si>
    <t>449/2023</t>
  </si>
  <si>
    <t xml:space="preserve">Región Metropolitana de Santiago </t>
  </si>
  <si>
    <t xml:space="preserve">S/E Las Tórtolas 220 kV </t>
  </si>
  <si>
    <t>Planta Fotovoltaica Chicha Solar</t>
  </si>
  <si>
    <t>Solar TI Veintidos SpA</t>
  </si>
  <si>
    <t>137/2025</t>
  </si>
  <si>
    <t>S/E Curacví 12 kV</t>
  </si>
  <si>
    <t>Pampas (componente Solar)</t>
  </si>
  <si>
    <t>Energía Eólica Pampas SpA</t>
  </si>
  <si>
    <t>451/2025</t>
  </si>
  <si>
    <t>E Jadresic 220 kV</t>
  </si>
  <si>
    <t>La máxima inyección conjunta del parque es de 400 MW, según lo informado por el Coordinador en su carta DE 05700-22 de 25 de noviembre de 2022</t>
  </si>
  <si>
    <t>Pampas (componente eólico)</t>
  </si>
  <si>
    <t>Parque Solar Fotovoltaico Punta del Viento</t>
  </si>
  <si>
    <t>Energia Renovable Verano Tres SpA</t>
  </si>
  <si>
    <t>637/2024</t>
  </si>
  <si>
    <t>S/E Punta Colorada 220 kV</t>
  </si>
  <si>
    <t>Parque Solar Fotovotaico Tarapacá</t>
  </si>
  <si>
    <t>Fotovoltaica Tarapacá SpA</t>
  </si>
  <si>
    <t>490/2025</t>
  </si>
  <si>
    <t>S/E Nueva Pozo Almonte 220 kV</t>
  </si>
  <si>
    <t>El proyecto junto con su sistema de almacenamiento cuenta con una potencia de inyección conjunta aprobada de 336 MW</t>
  </si>
  <si>
    <t>Copiapó Solar</t>
  </si>
  <si>
    <t>Copiapó Energía Solar SpA</t>
  </si>
  <si>
    <t>506/2025</t>
  </si>
  <si>
    <t>S/E Carrera Pinto 220 kV</t>
  </si>
  <si>
    <t>III. Proyectos de Generación en Construcción en el Sistema Eléctrico Nacional</t>
  </si>
  <si>
    <t>Capacidad de Almacenamiento [MWh]</t>
  </si>
  <si>
    <t>Central Asociada</t>
  </si>
  <si>
    <t>Potencia Neta Central [MW]</t>
  </si>
  <si>
    <t>Inyección Adicional BESS [MW]</t>
  </si>
  <si>
    <t>Sistema de Conexión</t>
  </si>
  <si>
    <t>Tx</t>
  </si>
  <si>
    <t>BESS Luz del Norte</t>
  </si>
  <si>
    <t>Parque Solar Fotovoltaico Luz del Norte SpA</t>
  </si>
  <si>
    <t>512/2024</t>
  </si>
  <si>
    <t>BESS</t>
  </si>
  <si>
    <t>PFV Luz del Norte</t>
  </si>
  <si>
    <t>S/E Luz del Norte 23 kV</t>
  </si>
  <si>
    <t>18/2023</t>
  </si>
  <si>
    <t>PFV Gabriela</t>
  </si>
  <si>
    <t>BESS Santa Marta</t>
  </si>
  <si>
    <t>Consorcio Santa Marta</t>
  </si>
  <si>
    <t>218/2025</t>
  </si>
  <si>
    <t>Ter Santa Marta</t>
  </si>
  <si>
    <t>S/E Central Santa Marta 33 kV</t>
  </si>
  <si>
    <t>Dx</t>
  </si>
  <si>
    <t>BESS Rivazzurra</t>
  </si>
  <si>
    <t>Aumento de Inyección y Retiro desde la Red VR1 y VR2</t>
  </si>
  <si>
    <t>AES Andes S.A.</t>
  </si>
  <si>
    <t>450/2025</t>
  </si>
  <si>
    <t>HP Alfalfal</t>
  </si>
  <si>
    <t>-</t>
  </si>
  <si>
    <t>S/E Alfalfal 220</t>
  </si>
  <si>
    <t>La capacidad de almacenamiento indicada corresponde a la existente, por lo que no se aumenta la capacidad de almacenamiento de la planta0</t>
  </si>
  <si>
    <t>BESS Víctor Jara</t>
  </si>
  <si>
    <t>BESS Huatacondo</t>
  </si>
  <si>
    <t>Austriansolar Chile Cuatro SpA</t>
  </si>
  <si>
    <t>516/2024</t>
  </si>
  <si>
    <t>PFV Huatacondo</t>
  </si>
  <si>
    <t>S/E Santa Rita 23 kV</t>
  </si>
  <si>
    <t>BESS Arenales</t>
  </si>
  <si>
    <t>Punta del Sol SpA</t>
  </si>
  <si>
    <t>639/2024</t>
  </si>
  <si>
    <t>S/E Cochrane 220 kV</t>
  </si>
  <si>
    <t>BESS Chaca</t>
  </si>
  <si>
    <t>Colbún S.A.</t>
  </si>
  <si>
    <t>106/2025</t>
  </si>
  <si>
    <t>S/E Roncacho 220 kV</t>
  </si>
  <si>
    <t>BESS Livorno</t>
  </si>
  <si>
    <t>El Pelícano BESS</t>
  </si>
  <si>
    <t xml:space="preserve"> El Pelícano Solar Company SpA</t>
  </si>
  <si>
    <t>85/2025</t>
  </si>
  <si>
    <t>PFV El Pelicano</t>
  </si>
  <si>
    <t>S/E Pelícano 23 kV</t>
  </si>
  <si>
    <t>Arena BESS</t>
  </si>
  <si>
    <t>CI GMF II Arena ProjectCo SpA</t>
  </si>
  <si>
    <t>181/2025</t>
  </si>
  <si>
    <t>Seccionamiento de línea de transmisión 1x220 kV Parinas-Central Lalackama</t>
  </si>
  <si>
    <t>BESS II San Andrés</t>
  </si>
  <si>
    <t>BESS San Andres SpA</t>
  </si>
  <si>
    <t>411/2025</t>
  </si>
  <si>
    <t>PFV San Andrés</t>
  </si>
  <si>
    <t>S/E Central San Andrés 220 kV</t>
  </si>
  <si>
    <t>PSF BESS Los Quilos</t>
  </si>
  <si>
    <t>BESS Monza</t>
  </si>
  <si>
    <t>BESS Dos Pinos</t>
  </si>
  <si>
    <t>BESS Estepa Solar</t>
  </si>
  <si>
    <t>BESS Arica II</t>
  </si>
  <si>
    <t>Engie Energía Chile S.A.</t>
  </si>
  <si>
    <t>127/2025</t>
  </si>
  <si>
    <t>S/E Arica 66 kV</t>
  </si>
  <si>
    <t>BESS Elena Fase I</t>
  </si>
  <si>
    <t>Solar Elena SpA</t>
  </si>
  <si>
    <t>128/2025</t>
  </si>
  <si>
    <t>S/E Iberelena 33 kV</t>
  </si>
  <si>
    <t>PSF BESS Las Violetas</t>
  </si>
  <si>
    <t>404/2025</t>
  </si>
  <si>
    <t>BESS Willka</t>
  </si>
  <si>
    <t>Inversiones Fotovoltaicas SpA</t>
  </si>
  <si>
    <t>449/2025</t>
  </si>
  <si>
    <t>PFV Willka</t>
  </si>
  <si>
    <t>S/E Willka 33 kV</t>
  </si>
  <si>
    <t>BESS Los Loros</t>
  </si>
  <si>
    <t>188/2025</t>
  </si>
  <si>
    <t>PFV Los Loros</t>
  </si>
  <si>
    <t>S/E Central Parque Solar Los Loros</t>
  </si>
  <si>
    <t>BESS Lile</t>
  </si>
  <si>
    <t>200/2025</t>
  </si>
  <si>
    <t>Paños existentes J1 y J2 de S/E TEN GIS</t>
  </si>
  <si>
    <t>BESS Libélula</t>
  </si>
  <si>
    <t>24/2025</t>
  </si>
  <si>
    <t>S/E Libélula 33 kV</t>
  </si>
  <si>
    <t>BESS Estela</t>
  </si>
  <si>
    <t>363/2025</t>
  </si>
  <si>
    <t>S/E elevadora en 33 kV de Fehaciente NUP 2977 Tamarugal Solar (Ex - PFV Aurora Solar),</t>
  </si>
  <si>
    <t>Punta de Talca BESS</t>
  </si>
  <si>
    <t>Parque Eólico Punta de Talca SpA</t>
  </si>
  <si>
    <t>414/2025</t>
  </si>
  <si>
    <t>S/E Punta de Talca 33 kV</t>
  </si>
  <si>
    <t>BESS Cristales</t>
  </si>
  <si>
    <t>BESS Estepa II</t>
  </si>
  <si>
    <t>Estepa Solar Dos SpA</t>
  </si>
  <si>
    <t>402/2025</t>
  </si>
  <si>
    <t>PFV Estepa</t>
  </si>
  <si>
    <t>S/E Estepa Solar 220 kV</t>
  </si>
  <si>
    <t>BESS Hijuela</t>
  </si>
  <si>
    <t>146/2025</t>
  </si>
  <si>
    <t>BESS El Olivar</t>
  </si>
  <si>
    <t>145/2025</t>
  </si>
  <si>
    <t>S/E PS Marañón 13,8 kV</t>
  </si>
  <si>
    <t>BESS Kallpa (Ex Santa Lya)</t>
  </si>
  <si>
    <t>284/2025</t>
  </si>
  <si>
    <t>S/E Kallpa 33 kV</t>
  </si>
  <si>
    <t>BESS San Juan</t>
  </si>
  <si>
    <t>BESS Luna de Verano</t>
  </si>
  <si>
    <t>BESS Gran Teno</t>
  </si>
  <si>
    <t>GR Algarrobo SpA</t>
  </si>
  <si>
    <t>448/2025</t>
  </si>
  <si>
    <t>PFV Gran Teno</t>
  </si>
  <si>
    <t>S/E Solís 33 kV</t>
  </si>
  <si>
    <t>BESS Modena</t>
  </si>
  <si>
    <t>BESS Chicha Solar</t>
  </si>
  <si>
    <t>Pampas (almacenamiento)</t>
  </si>
  <si>
    <t>Pampas</t>
  </si>
  <si>
    <t>S/E Jadresic 220 kV</t>
  </si>
  <si>
    <t>BESS Sol de Valle Hermoso</t>
  </si>
  <si>
    <t>Pichirropulli BESS</t>
  </si>
  <si>
    <t>BESS Nueva Paillaco</t>
  </si>
  <si>
    <t>BESS Tarapacá</t>
  </si>
  <si>
    <t>BESS Diego de Almagro Sur II</t>
  </si>
  <si>
    <t>PFV Diego de Almagro Sur</t>
  </si>
  <si>
    <t>S/E Inca de Oro 33 kV</t>
  </si>
  <si>
    <t>BESS Copiapó Solar</t>
  </si>
  <si>
    <t>BESS Latorre Sunlight</t>
  </si>
  <si>
    <t>IV. Proyectos de Generación en Construcción en Sistemas Medianos</t>
  </si>
  <si>
    <t>Central Navarino</t>
  </si>
  <si>
    <t>307/2025</t>
  </si>
  <si>
    <t>GLP</t>
  </si>
  <si>
    <t>1,0</t>
  </si>
  <si>
    <t>Región de Magallanes y La Antártida Chilena</t>
  </si>
  <si>
    <t>Alimentador N° 1 13,2 kV</t>
  </si>
  <si>
    <t>V. Proyectos de Obras Nuevas del Sistema de Transmisión Nacional</t>
  </si>
  <si>
    <t>Decreto Plan de Expansión</t>
  </si>
  <si>
    <t>Decreto Adjudicación</t>
  </si>
  <si>
    <t>Fecha de entrada en operación según Decreto de Adjudicación</t>
  </si>
  <si>
    <t>Responsable</t>
  </si>
  <si>
    <t>Nueva S/E Seccionadora Parinas 500/220 kV</t>
  </si>
  <si>
    <t>4/2019</t>
  </si>
  <si>
    <t>13T/2020</t>
  </si>
  <si>
    <t>Transelec Holdings Rentas Limitada</t>
  </si>
  <si>
    <t>Nueva S/E Seccionadora Nueva Lagunas y Nueva Línea 2x500 kV Nueva Lagunas - Kimal</t>
  </si>
  <si>
    <t>229/2021</t>
  </si>
  <si>
    <t>15T/2022</t>
  </si>
  <si>
    <t>Iterconexión Eléctrica S.A. E.S.P. - ISA</t>
  </si>
  <si>
    <t>Nueva Línea HVDC Kimal - Lo Aguirre</t>
  </si>
  <si>
    <t>231/2019</t>
  </si>
  <si>
    <t>1T/2022</t>
  </si>
  <si>
    <t>Conexión Kimal - Lo Aguirre S.A.</t>
  </si>
  <si>
    <t>De acuerdo al Decreto Exento N° 76 de 26 de abril de 2023, del Ministerio de Energía.</t>
  </si>
  <si>
    <t>Nueva Línea 4x220 kV desde S/E Nueva Los Pelambres a Seccionamiento del segmento de la Línea 2x220 kV Los Piuquenes - Tap Mauro</t>
  </si>
  <si>
    <t>Centella Transmisión S.A.</t>
  </si>
  <si>
    <t>De acuerdo al Decreto Exento N° 175 de 29 de agosto de 2022, del Ministerio de Energía.</t>
  </si>
  <si>
    <t>Línea Nueva Puerto Montt - Nueva Ancud 2x500 kV 2x1500 MVA y Nuevo cruce aéreo 2x500 kV 2x1500 MVA, ambos energizados en 220 kV y S/E Nueva Ancud 220 kV</t>
  </si>
  <si>
    <t>422/2017</t>
  </si>
  <si>
    <t>17T/2018</t>
  </si>
  <si>
    <t>Transmisora del Pacífico S.A.</t>
  </si>
  <si>
    <t>De acuerdo al Decreto Exento N° 225 de 21 de agosto de 2019, del Ministerio de Energía.</t>
  </si>
  <si>
    <t>Nueva S/E Seccionadora Llullaillaco</t>
  </si>
  <si>
    <t>257/2022</t>
  </si>
  <si>
    <t>3T/2024</t>
  </si>
  <si>
    <t>Nueva S/E Seccionadora El Pimiento</t>
  </si>
  <si>
    <t>Alupar Chile Inversiones SpA</t>
  </si>
  <si>
    <t>Nuevo Sistema de Control de Flujo para Tramos 220 kV Las Palmas - Centella</t>
  </si>
  <si>
    <t>58/2024</t>
  </si>
  <si>
    <t>5T/2025</t>
  </si>
  <si>
    <t>Interconexión Eléctrica S.A. E.S.P. - ISA</t>
  </si>
  <si>
    <t>Nueva S/E Manuel Rodríguez</t>
  </si>
  <si>
    <t>VII. Proyectos de Obras de Ampliación del Sistema de Transmisión Nacional</t>
  </si>
  <si>
    <t>Ampliación S/E Candelaria</t>
  </si>
  <si>
    <t>293/2018</t>
  </si>
  <si>
    <t>15T/2020</t>
  </si>
  <si>
    <t>Colbún Transmisión S.A.</t>
  </si>
  <si>
    <t>Ampliación en S/E Calama 220 kV</t>
  </si>
  <si>
    <t>198/2019</t>
  </si>
  <si>
    <t>18T/2020</t>
  </si>
  <si>
    <t>Transemel S.A.</t>
  </si>
  <si>
    <t>La obra "Ampliación en S/E Calama 220 kV" es un proyecto en la subestación denominada "Calama Nueva" de propiedad de Transemel S.A.</t>
  </si>
  <si>
    <t>Aumento de Capacidad Línea 2x220 kV Maitencillo - Nueva Maitencillo</t>
  </si>
  <si>
    <t>Interchile S.A.</t>
  </si>
  <si>
    <t>Seccionamiento Línea 2x220 kV Ancoa – Itahue en S/E Santa Isabel</t>
  </si>
  <si>
    <t>CGE S.A.</t>
  </si>
  <si>
    <t>Reactor en S/E Nueva Pichirropulli</t>
  </si>
  <si>
    <t>Eletrans S.A.</t>
  </si>
  <si>
    <t>Aumento de Capacidad de Línea 2x220 kV Ciruelos - Cautín</t>
  </si>
  <si>
    <t>8T/2020</t>
  </si>
  <si>
    <t>Transelec S.A.</t>
  </si>
  <si>
    <t>Cambio Interruptores Línea 2x220 kV Alto Jahuel - Chena en S/E Alto Jahuel</t>
  </si>
  <si>
    <t>171/2020</t>
  </si>
  <si>
    <t>11T/2021</t>
  </si>
  <si>
    <t>Aumento de Capacidad Línea 2x500 kV Alto Jahuel - Lo Aguirre y Ampliación en S/E Lo Aguirre</t>
  </si>
  <si>
    <t>Cambio Interruptor Paño Acoplador en S/E Temuco 66 kV</t>
  </si>
  <si>
    <t>13T/2022</t>
  </si>
  <si>
    <t>B. Bosch S.A.</t>
  </si>
  <si>
    <t>Ampliación en S/E Frontera y Seccionamiento Línea 2x220 kV Lagunas - Encuentro</t>
  </si>
  <si>
    <t>Ampliación en S/E Ana María y Seccionamiento Línea 2x220 kV Frontera - María Elena</t>
  </si>
  <si>
    <t>TSGF SpA</t>
  </si>
  <si>
    <t>Ampliación en S/E Don Goyo, Seccionamiento Línea Nueva Pan de Azúcar - Punta Sierra y Bypass Línea 2x220 kV Pan de Azúcar - La Cebada</t>
  </si>
  <si>
    <t>Don Goyo Transmisión S.A.</t>
  </si>
  <si>
    <t>Aumento de capacidad Línea 2x220 kV La Cebada - Punta Sierra</t>
  </si>
  <si>
    <t>Ampliación en S/E Mulchén y Seccionamiento Línea 1x220 kV Charrúa - Temuco</t>
  </si>
  <si>
    <t>Ampliación en S/E Temuco (BPS+BT)</t>
  </si>
  <si>
    <t>Aumento de capacidad Líneas 2x220 kV Frontera - María Elena y 2x220 kV María Elena - Kimal</t>
  </si>
  <si>
    <t>Transelec S.A.; Kelti S.A.; Sociedad Austral de Transmisión Troncal S.A.; Zaldívar Transmisión S.A.; TSGF SpA</t>
  </si>
  <si>
    <t>Aumento de capacidad Línea 1x220 kV Charrúa - Temuco</t>
  </si>
  <si>
    <t>Transelec S.A.; Besalco Transmisión SpA; Empresa de Transmisión Eléctrica Transemel S.A.; Edelnor Transmisión S.A.</t>
  </si>
  <si>
    <t>Aumento de Capacidad Línea 2x220 kV Encuentro - Kimal</t>
  </si>
  <si>
    <t>185/2021</t>
  </si>
  <si>
    <t>Elecnor Chile S.A.</t>
  </si>
  <si>
    <t>Reactor en S/E Nueva Ancud (NR AT)</t>
  </si>
  <si>
    <t>Ampliación en S/E Chiloé y Tendido segundo circuito Línea 2x220 kV Nueva Ancud - Chiloé</t>
  </si>
  <si>
    <t>sistemas Transmisión del Sur S.A.</t>
  </si>
  <si>
    <t>Ampliación en S/E Don Goyo 220 kV (BPS+BT)</t>
  </si>
  <si>
    <t>Sonnedix Don Goyo Transmisión S.A.</t>
  </si>
  <si>
    <t>De acuerdo al Decreto Exento N° 199 de 19 de agosto de 2024, del Ministerio de Energía.</t>
  </si>
  <si>
    <t>Reemplazo Equipo de Compensación Reactiva en S/E Lagunas (RCER AT)</t>
  </si>
  <si>
    <t>CAM Chile SpA</t>
  </si>
  <si>
    <t>Aumento de Capacidad Línea 2x220 kV Tarapacá - Lagunas, tramo Nueva Lagunas - Lagunas</t>
  </si>
  <si>
    <t>Ampliación en S/E Kimal 500 kV (IM)</t>
  </si>
  <si>
    <t>Sociedad Austral
de Transmisión
Troncal S.A.; Solar
Elena SpA; Transelec
Concesiones S.A.</t>
  </si>
  <si>
    <t>De acuerdo al Decreto N° 2T de 3 de marzo de 2025, del Ministerio de Energía.</t>
  </si>
  <si>
    <t>Ampliación en S/E Nueva Pozo Almonte 220 kV (IM)</t>
  </si>
  <si>
    <t>200/2022</t>
  </si>
  <si>
    <t>2T/2024</t>
  </si>
  <si>
    <t>Red Eléctrica del Norte S.A.</t>
  </si>
  <si>
    <t>Ampliación en S/E Don Héctor 220 kV (IM) y seccionamiento línea 2x220 kV Nueva Maitencillo - Punta Colorada</t>
  </si>
  <si>
    <t>Aumento de Capacidad Línea 1x220 kV Charrúa - Hualpén, Tramo Concepción - Hualpén</t>
  </si>
  <si>
    <t>Ampliación en S/E Lagunillas 220 kV (IM)</t>
  </si>
  <si>
    <t>Ampliación en S/E Tinguiririca 220 kV (IM) y 154 kV (BPS+BT)</t>
  </si>
  <si>
    <t>Construcción Bypass para la Línea 1x220 kV Atacama – Esmeralda, la Línea 1x110 kV Esmeralda – La Portada y Línea 1x110 kV Mejillones – Antofagasta y Desmantelamiento – Etapa I</t>
  </si>
  <si>
    <t>Edelnor Transmisión S.A.</t>
  </si>
  <si>
    <t>De acuerdo al Decreto Exento N° 208 de 11 de octubre de 2022, del Ministerio de Energía.</t>
  </si>
  <si>
    <t>S/E Seccionadora Nueva La Negra 220/110 kV</t>
  </si>
  <si>
    <t>4T/2021</t>
  </si>
  <si>
    <t>Nueva S/E Seccionadora Loica y Nueva Línea 2x220 kV Loica – Portezuelo</t>
  </si>
  <si>
    <t>Alfa Transmisora de Energía S.A.</t>
  </si>
  <si>
    <t>De acuerdo al Decreto Exento N° 263 de 26 de diciembre de 2022, del Ministerio de Energía.</t>
  </si>
  <si>
    <t>Nueva Línea 2x66 kV Nueva Nirivilo – Constitución, tendido del primer circuito</t>
  </si>
  <si>
    <t>Nirivilo Transmisora de Energía S.A.</t>
  </si>
  <si>
    <t>De acuerdo al Decreto Exento N° 173 de 12 de agosto de 2021, del Ministerio de Energía.</t>
  </si>
  <si>
    <t>Construcción Bypass para la Línea 1x220 kV Atacama – Esmeralda, la Línea 1x110 kV Esmeralda – La Portada y Línea 1x110 kV Mejillones – Antofagasta y Desmantelamiento – Etapa II</t>
  </si>
  <si>
    <t>Nueva Línea 2x220 kV Candelaria - Nueva Tuniche y S/E Nueva Tuniche 220 kV</t>
  </si>
  <si>
    <t>Nueva Línea 2x110 kV desde S/E Caldera a Línea 1x110 kV Cardones - Punta Padrones</t>
  </si>
  <si>
    <t>15T/2021</t>
  </si>
  <si>
    <t>Empresa Eléctrica Cordillera SpA</t>
  </si>
  <si>
    <t>Nueva Línea 1x110 kV Cerrillos - Atacama Kozán</t>
  </si>
  <si>
    <t>Nueva Línea 1x110 kV Maitencillo - Vallenar</t>
  </si>
  <si>
    <t>185/2020</t>
  </si>
  <si>
    <t>Nueva S/E La Ligua</t>
  </si>
  <si>
    <t>De acuerdo al Decreto Exento N° 206 de 11 de octubre de 2022, del Ministerio de Energía.</t>
  </si>
  <si>
    <t>Nueva S/E Seccionadora Baja Cordillera</t>
  </si>
  <si>
    <t>Nueva Línea 1x66 kV Portezuelo - Alcones</t>
  </si>
  <si>
    <t>Nueva S/E Seccionadora Epuleufu</t>
  </si>
  <si>
    <t>Sociedad Austral de Transmisión Troncal S.A.</t>
  </si>
  <si>
    <t>De acuerdo al Decreto Exento N° 91 de 25 de abril de 2023, del Ministerio de Energía.</t>
  </si>
  <si>
    <t>Nueva Línea 1x66 kV Angol - Epuleufu</t>
  </si>
  <si>
    <t>Nueva S/E Seccionadora Buenavista</t>
  </si>
  <si>
    <t>Empresa de Transmisión Electrica Transemel S.A.</t>
  </si>
  <si>
    <t>Nueva S/E Seccionadora Buli</t>
  </si>
  <si>
    <t>Nueva Línea 2x220 kV Don Goyo - La Ruca</t>
  </si>
  <si>
    <t>Celeo Redes Chile Ltda</t>
  </si>
  <si>
    <t>Nueva S/E Seccionadora Totihue y Nueva Línea 2x66 kV Totihue - Rosario</t>
  </si>
  <si>
    <t>Nueva Línea 1x66 kV Santa Elisa - Quilmo II</t>
  </si>
  <si>
    <t>Besalco S.A.</t>
  </si>
  <si>
    <t>Nueva S/E seccionadora Pachacama</t>
  </si>
  <si>
    <t>De acuerdo al Decreto Exento N° 152 de 13 de junio de 2025, del Ministerio de Energía.</t>
  </si>
  <si>
    <t>Nueva S/E Monte Blanco y Nueva S/E El Lazo</t>
  </si>
  <si>
    <t>Alupar Chile inversiones SpA</t>
  </si>
  <si>
    <t>Nueva Línea 1x110 kV El Pimiento - Monte Blanco, Nueva Línea 1x110 kV El Pimiento - El Lazo y Nueva Línea 1x110 kV Monte Blanco - El Lazo</t>
  </si>
  <si>
    <t>Nueva S/E Seccionadora Linderos</t>
  </si>
  <si>
    <t>Nueva S/E Litueche y Nueva Línea 2x110 kV Litueche - La Estrella</t>
  </si>
  <si>
    <t>Nueva S/E Seccionadora El Guindal</t>
  </si>
  <si>
    <t>Nueva Línea 2x154 kV Fuentecilla - Malloa Nueva</t>
  </si>
  <si>
    <t>Nueva Línea 2x154 kV Tinguiririca - Santa Cruz</t>
  </si>
  <si>
    <t>Nueva S/E Seccionadora Las Delicias</t>
  </si>
  <si>
    <t>Nueva S/E Coiquén y Nueva Línea 2x66 kV Las Delicias - Coiquén</t>
  </si>
  <si>
    <t>Nueva S/E Llolleo</t>
  </si>
  <si>
    <t>Nueva S/E Lo Campino</t>
  </si>
  <si>
    <t>Sociedad de Transmisión Austral S.A.</t>
  </si>
  <si>
    <t>Nueva S/E Don Melchor</t>
  </si>
  <si>
    <t>Nueva S/E NOS</t>
  </si>
  <si>
    <t>Nueva S/E Valentín Letelier</t>
  </si>
  <si>
    <t>Nueva S/E Schwager</t>
  </si>
  <si>
    <t>Nueva S/E Reloncaví</t>
  </si>
  <si>
    <t>VIII. Proyectos de Obras de Ampliación del Sistema de Transmisión Zonal</t>
  </si>
  <si>
    <t>Extensión de Línea 1x66 kV Las Piñatas – San Jerónimo</t>
  </si>
  <si>
    <t>Compañía Eléctrica del Litoral S.A.</t>
  </si>
  <si>
    <t>Doble vinculación Transformador N°1 220/110 kV en S/E Cardones</t>
  </si>
  <si>
    <t>Ampliación en S/E Plantas</t>
  </si>
  <si>
    <t>Compañía General de Electricidad S.A.</t>
  </si>
  <si>
    <t>Tendido segundo circuito Línea 2x110 kV Agua Santa - Placilla</t>
  </si>
  <si>
    <t>Chilquinta Energía S.A.</t>
  </si>
  <si>
    <t>Nuevo Transformador en S/E La Calera</t>
  </si>
  <si>
    <t>Ampliación en S/E Valdivia</t>
  </si>
  <si>
    <t>Sistema de Transmisión del Sur S.A.</t>
  </si>
  <si>
    <t>Ampliación en S/E Catemu</t>
  </si>
  <si>
    <t>17T/2020</t>
  </si>
  <si>
    <t>Ampliación en S/E Pozo Almonte</t>
  </si>
  <si>
    <t>Engie Energía S.A.</t>
  </si>
  <si>
    <t>Ampliación en S/E Tamarugal y aumento de capacidad de línea 1x66 kV Pozo Almonte – Tamarugal</t>
  </si>
  <si>
    <t>Seccionamiento línea 1x110 kV Arica – Pozo Almonte en S/E Dolores</t>
  </si>
  <si>
    <t>Ampliación en S/E Chinchorro</t>
  </si>
  <si>
    <t>Emelari S.A.</t>
  </si>
  <si>
    <t>Ampliación en S/E Calama 110 kV</t>
  </si>
  <si>
    <t>La obra "Ampliación en S/E Calama 110 kV" es un proyecto en la subestación denominada "Calama Nueva" de propiedad de Transemel S.A.</t>
  </si>
  <si>
    <t>Ampliación en S/E Centro</t>
  </si>
  <si>
    <t>Ampliación en S/E El Totoral</t>
  </si>
  <si>
    <t>Empresa Eléctrica Litoral</t>
  </si>
  <si>
    <t>Ampliación en S/E Casablanca</t>
  </si>
  <si>
    <t>Ampliación en S/E Chocalán</t>
  </si>
  <si>
    <t>Ampliación en S/E Mandinga</t>
  </si>
  <si>
    <t>Ampliación en S/E Polpaico (Enel Distribución)</t>
  </si>
  <si>
    <t>Enel Distribución S.A.</t>
  </si>
  <si>
    <t>Ampliación en S/E Rungue</t>
  </si>
  <si>
    <t>Refuerzo Tramo Tap Vitacura – Vitacura</t>
  </si>
  <si>
    <t>Ampliación en S/E Loreto</t>
  </si>
  <si>
    <t>Ampliación en S/E Lihueimo</t>
  </si>
  <si>
    <t>Ampliación en S/E Molina y Seccionamiento de la Línea 2x66 kV Itahue – Curicó</t>
  </si>
  <si>
    <t>Ampliación en S/E San Clemente</t>
  </si>
  <si>
    <t>Aumento de Capacidad Línea 1x66 kV Tap Linares Norte – Linares y Ampliación en S/E Linares</t>
  </si>
  <si>
    <t>Aumento de Capacidad Línea 1x66 kV Monterrico – Cocharcas</t>
  </si>
  <si>
    <t>Aumento de Capacidad Línea 1x66 kV Tap Loma Colorada – Loma Colorada y Ampliación en S/E Loma Colorada</t>
  </si>
  <si>
    <t>Ampliación en S/E Escuadrón</t>
  </si>
  <si>
    <t>Ampliación en S/E Negrete DE198</t>
  </si>
  <si>
    <t>Empresa Eléctrica de la Frontera S.A.</t>
  </si>
  <si>
    <t>Ampliación en S/E Pumahue</t>
  </si>
  <si>
    <t>Ampliación en S/E Gorbea</t>
  </si>
  <si>
    <t>Ampliación en S/E Victoria</t>
  </si>
  <si>
    <t>Ampliación en S/E Picarte</t>
  </si>
  <si>
    <t>Adecuaciones en S/E El Salto</t>
  </si>
  <si>
    <t>Enel Distribución Chile S.A.</t>
  </si>
  <si>
    <t>Ampliación en S/E Nueva Nirivilo</t>
  </si>
  <si>
    <t>Consorcio Celeo Redes</t>
  </si>
  <si>
    <t>Línea 1x110 kV Bosquemar – Tap Reñaca – Reñaca</t>
  </si>
  <si>
    <t>Ampliación en S/E Fátima</t>
  </si>
  <si>
    <t>Ampliación Línea 2x220 kV Punta de Cortés - Tuniche: Incorporación de Paños de Línea</t>
  </si>
  <si>
    <t>Nuevo Transformador en S/E Punta de Cortés</t>
  </si>
  <si>
    <t>Ampliación en S/E Punta de Cortés para interconexión de Línea 2x220 kV Punta de Cortés - Tuniche</t>
  </si>
  <si>
    <t>Nueva S/E Móvil Región Metropolitana</t>
  </si>
  <si>
    <t>Enel Transmisión Chile S.A.</t>
  </si>
  <si>
    <t>De acuerdo a la Resolución N° 3 de 14 de septiembre de 2022, del Ministerio de Energía.</t>
  </si>
  <si>
    <t>Ampliación de Capacidad Línea 1x66 kV Charrúa – Chillán</t>
  </si>
  <si>
    <t>Ampliación en S/E Caldera</t>
  </si>
  <si>
    <t>Cambio de titularidad del proyecto de acuerdo en el decreto N° 39 de 2023 del Ministerio de Energía</t>
  </si>
  <si>
    <t>Ampliación en S/E Atacama Kozán</t>
  </si>
  <si>
    <t>Ampliación en S/E Cerrillos</t>
  </si>
  <si>
    <t>Ampliación en S/E Palafitos (NTR ATMT)</t>
  </si>
  <si>
    <t>Nuevo Transformador en S/E Illapel</t>
  </si>
  <si>
    <t>Aumento de Capacidad Línea 1x110 kV Las Vegas - Esperanza</t>
  </si>
  <si>
    <t>Aumento de Capacidad Línea 1x110 kV Esperanza - Río Aconcagua</t>
  </si>
  <si>
    <t>Ampliación en S/E Santa Marta (NTR ATMT)</t>
  </si>
  <si>
    <t>Aumento Capacidad de Línea 1x66 kV Rosario - San Fernando, segmento Tap Rengo - Pelequén</t>
  </si>
  <si>
    <t>Aumento Capacidad de Línea 1x66 kV Pelequén - Malloa</t>
  </si>
  <si>
    <t>Ampliación en S/E Santa Elvira (NTR ATMT)</t>
  </si>
  <si>
    <t>Ampliación en S/E Santa Raquel (NTR ATMT)</t>
  </si>
  <si>
    <t>13T /2022</t>
  </si>
  <si>
    <t>Andaluza de Montajes Eléctricos y Telefónicos S.A. Agencia en Chile</t>
  </si>
  <si>
    <t>Ampliación en S/E Punta de Cortés (NTR ATAT)</t>
  </si>
  <si>
    <t>Aumento de Capacidad Línea 1x66 kV Punta de Cortés - Tuniche, Tramo Punta de Cortés - Puneto Alto</t>
  </si>
  <si>
    <t>Ampliación en S/E San Miguel (NTR ATMT)</t>
  </si>
  <si>
    <t>Ampliación en S/E Parral (NTR ATMT)</t>
  </si>
  <si>
    <t>Ampliación en S/E Monterrico (NTR ATMT)</t>
  </si>
  <si>
    <t>Aumento de Capacidad Línea 1x66 kV Santa Elvira - Tap El Nevado</t>
  </si>
  <si>
    <t>Ampliación en S/E Temuco (NTR ATMT)</t>
  </si>
  <si>
    <t>B. Bosch S.A</t>
  </si>
  <si>
    <t>Ampliación en S/E Pichirropulli (RTR ATMT)</t>
  </si>
  <si>
    <t>Ampliación en S/E Castro (NTR ATMT)</t>
  </si>
  <si>
    <t>Aumento de capacidad Línea 2x220 kV Alto Jahuel - Baja Cordillera</t>
  </si>
  <si>
    <t>Aumento de Capacidad Línea 2x110 kV La Ruca - Ovalle</t>
  </si>
  <si>
    <t>Celeo Redes Chile Limitada</t>
  </si>
  <si>
    <t>Seccionamiento Línea 1x66 kV Teno - Curicó en S/E Rauquén 66 kV (BS)</t>
  </si>
  <si>
    <t>Empresa de Transmisión Eléctrica Transemel S.A.</t>
  </si>
  <si>
    <t>Ampliación en S/E La Ruca 110 kV (BPS+BT), Nuevo Patio 220 kV (IM) y Nuevo Transformador (ATAT)</t>
  </si>
  <si>
    <t>Ampliación en S/E Rosario</t>
  </si>
  <si>
    <t>Ampliación en S/E Peñablanca (NTR ATMT)</t>
  </si>
  <si>
    <t>Chilquinta Transmisión S.A.</t>
  </si>
  <si>
    <t>Ampliación en S/E San Pablo (NTR ATMT)</t>
  </si>
  <si>
    <t>Sociedad Transmisora Metropolitana II S.A.</t>
  </si>
  <si>
    <t>Ampliación en S/E Leyda (NTR ATMT)</t>
  </si>
  <si>
    <t>CGE Transmisión S.A.</t>
  </si>
  <si>
    <t>Ampliación en S/E Las Cabras (NTR ATMT)</t>
  </si>
  <si>
    <t>Ampliación en S/E Chimbarongo (NTR ATMT) y Seccionamiento Línea 1x66 kV San Fernando - Teno</t>
  </si>
  <si>
    <t>Ampliación en S/E Los Maquis 66 kV (BS), Nuevo Transformador (NTR ATMT) y Seccionamiento Línea 2x66 kV Itahue - Talca</t>
  </si>
  <si>
    <t>Ampliación en S/E Panguilemo</t>
  </si>
  <si>
    <t>Ampliación en S/E Hualqui 220 kV (IM)</t>
  </si>
  <si>
    <t>Mataquito Transmisora de Energía S.A.</t>
  </si>
  <si>
    <t>Aumento de Capacidad Línea 1x66 kV Buin - Linderos</t>
  </si>
  <si>
    <t>Ampliación en S/E La Estrella 110 kV (BS)</t>
  </si>
  <si>
    <t>Ampliación en S/E Funetecilla 66 kV (BP+BT), Nuevo Patio 154 kV (NBPS+BT), Nuevo Transformador (NTR ATAT) y Seccionamiento Línea 1x66 kV San Vicente de Tagua Tagua - Las Cabras</t>
  </si>
  <si>
    <t>Sociedad Austral de Transmisión Troncal S.A.; CGE Transmisión S.A.</t>
  </si>
  <si>
    <t>Ampliación en S/E Malloa Nueva 154 kV (BPS) y Seccioamiento Línea 1x154 Punta de Cortés - Tinguiririca</t>
  </si>
  <si>
    <t>CGE Transmisión S.A. ; Transelec S.A.</t>
  </si>
  <si>
    <t>Ampliación en S/E Tinguiririca (NTR ATAT)</t>
  </si>
  <si>
    <t>Ampliación en S/E Santa Cruz 66 kV (BP+BT), Nuevo Patio 154 kV (NBPS+BT) y Nuevo Transformador (NTR ATAT)</t>
  </si>
  <si>
    <t>Ampliación en S/E San Fernando 154 kV (NBP+BT)</t>
  </si>
  <si>
    <t>Tendido Segundo Circuito Línea 2x154 kV Tinguiririca - San Fernando y Construcción de Paños en S/E San Fernando</t>
  </si>
  <si>
    <t>Amplaición en S/E Santa Elisa 66 kV (NBP+BT), Nuevo Transformador (ATMT) y Seccionamiento Línea 1x66 kV Nueva Aldea - Santa Elvira</t>
  </si>
  <si>
    <t>Cooperativa de Consumo de Energía Eléctrica de Chillán Ltda.</t>
  </si>
  <si>
    <t>Ampliación en S/E Quilmo II 66 kV (BS) y Seccionamiento Línea 1x66 kV Chillán - Tap Quilmo</t>
  </si>
  <si>
    <t>Decreto de Adjudicación</t>
  </si>
  <si>
    <t>Fecha de Entrada en Operación según Decreto de Adjudicación</t>
  </si>
  <si>
    <t>Aumento de Capacidad de Transmisión en Línea 2x66 kV Maule – Talca</t>
  </si>
  <si>
    <t>19T/2018</t>
  </si>
  <si>
    <t>Ampliación en S/E Capricornio</t>
  </si>
  <si>
    <t>Ampliación en S/E Cerro Navia</t>
  </si>
  <si>
    <t>Modificación de Paños de Conexión de Línea 2x110 kV Las Vegas – Cerro Navia en Nuevo Patio “GIS” 110 kV S/E Cerro Navia 110 kV</t>
  </si>
  <si>
    <t>AES Gener S.A.</t>
  </si>
  <si>
    <t>Modificación de Conexión de Paños de Transformación “Tr5” Y Un Nuevo Banco en Nuevo Patio “GIS” 110 kV S/E Cerro Navia 110 kV</t>
  </si>
  <si>
    <t>Ampliación en S/E Río Blanco</t>
  </si>
  <si>
    <t>Ampliación en S/E San Felipe</t>
  </si>
  <si>
    <t>Ampliación en S/E Nueva Valdivia - Etapa II</t>
  </si>
  <si>
    <t>X. Proyectos de los Sistemas de Transmisión Zonal de ejecución obligatoria, en construcción al 31 de octubre de 2016, de conformidad al artículo 1° de Decreto Exento N° 418/2017</t>
  </si>
  <si>
    <t>Fecha estimada de Entrada en Operación según Decreto</t>
  </si>
  <si>
    <t>Fecha estimada de Entrada en Operación según CEN</t>
  </si>
  <si>
    <t>Aumento de capacidad línea 1x66 kV San Fernando – Placilla</t>
  </si>
  <si>
    <t>Nueva línea 1x33 kV Santa Elisa - Confluencia</t>
  </si>
  <si>
    <t>Cooperativa de Consumo de Energía Eléctrica Chillán Ltda.</t>
  </si>
  <si>
    <t>S/E Quepe 220/66 kV</t>
  </si>
  <si>
    <t>- De acuerdo al Decreto Exento N° 116 de 19 de junio de 2020, del Ministerio de Energía.
 - Fecha de Entrada en Operación modificada de acuerdo al Decreto N° 5T de 28 de octubre de 2022.
- Cambio de nombre de acuerdo al Decreto Exento N° 200 de 19 de agosto de 2024, del Ministerio de Energía.</t>
  </si>
  <si>
    <t>Línea 2x66 kV Quepe – Enlace Imperial</t>
  </si>
  <si>
    <t>XI. Proyectos de obras nuevas de los Sistemas de Transmisión Zonal de acuerdo al artículo 3° de Decreto Exento N° 418/2017, que cuentan con decreto de adjudicación</t>
  </si>
  <si>
    <t>Nueva Línea 2x66 kV Los Varones – El Avellano</t>
  </si>
  <si>
    <t>5T/2019</t>
  </si>
  <si>
    <t>Besalco Transmisión SpA</t>
  </si>
  <si>
    <t>De acuerdo al Decreto Exento N° 116 de 19 de junio de 2020, del Ministerio de Energía.</t>
  </si>
  <si>
    <t>Nueva Línea 2x220 kV Itahue – Mataquito</t>
  </si>
  <si>
    <t>Nueva S/E Mataquito 220/66 kV</t>
  </si>
  <si>
    <t>Nueva Línea 2x66 kV Nueva Valdivia – Picarte, Tendido del Primer Circuito</t>
  </si>
  <si>
    <t>- De acuerdo al Decreto Exento N° 188 de 29 de septiembre de 2020, del Ministerio de Energía.
- Fecha de Entrada en Operación modificada de acuerdo al Decreto N° 6T de 10 de mayo de 2021, del Ministerio de Energía.</t>
  </si>
  <si>
    <t>Nueva Línea 2x220 Mataquito – Nueva Nirivilo – Nueva Cauquenes – Dichato – Hualqui</t>
  </si>
  <si>
    <t>S/E Nueva Nirivilo 220/66 kV</t>
  </si>
  <si>
    <t>S/E Nueva Cauquenes 220/66 kV</t>
  </si>
  <si>
    <t>S/E Dichato 220/66 kV</t>
  </si>
  <si>
    <t>Nueva Línea 2x66 kV Nueva Cauquenes – Parral</t>
  </si>
  <si>
    <t>Nueva Línea 2x66 kV Nueva Cauquenes – Cauquenes</t>
  </si>
  <si>
    <t>Nueva Línea 2x66 Dichato – Tomé</t>
  </si>
  <si>
    <t>Nueva Línea 2x66 Hualqui – Chiguayante</t>
  </si>
  <si>
    <t>Nueva Línea 2x220 kV Gamboa - Chonchi energizada en 110 kV, tendido del primer circuito</t>
  </si>
  <si>
    <t>XII. Otros Proyectos y Modificaciones en los Sistemas de Transmisión Nacional, Zonal y Dedicados</t>
  </si>
  <si>
    <t>Descripción</t>
  </si>
  <si>
    <t>Fecha estimada de Interconexión</t>
  </si>
  <si>
    <t>Tensión [kV]</t>
  </si>
  <si>
    <t>Potencia</t>
  </si>
  <si>
    <t>Nueva S/E Seccionadora Traful</t>
  </si>
  <si>
    <t>Seccionamiento de la Línea 2x110 kV Mineros – Sewell en S/E Traful para la alimentación del proyecto Nuevo Nivel Mina.</t>
  </si>
  <si>
    <t>Corporación Nacional del Cobre de Chile</t>
  </si>
  <si>
    <t>2x40 MVA</t>
  </si>
  <si>
    <t>Aumento de potencia consumo TEA S/E Lagunas</t>
  </si>
  <si>
    <t>El proyecto consiste en el reemplazo de la Celda de 23 kV en el paño E1 de la S/E Lagunas, por una Celda de mayor capacidad, con el propósito de aumentar la demanda existente de 2 a 10 MW. Además, se considera el reemplazo del equipamiento secundario de protección, monitoreo y medida del paño E1, por obsolescencia de los equipos existentes, junto con el montaje de dos equipos desconectadores tipo cuchilla a intemperie montados en la estructura del parrón de 23 kV existente.</t>
  </si>
  <si>
    <t>Sociedad Química y Minera de Chile S.A.</t>
  </si>
  <si>
    <t>10,0 MW</t>
  </si>
  <si>
    <t>Nueva S/E Elevadora Damas 23/46 kV</t>
  </si>
  <si>
    <t>Nueva Subestación Seccionadora de la actual Línea El Paso – Dos Valles 1x23 kV, que recibirá las inyecciones provenientes de las centrales Dos Valles y Palacios. El alcance incluye el cambio de tap en el transformador de S/E El Paso y elevar el nivel de tensión del tramo de transmisión El Paso – Damas a 46 kV</t>
  </si>
  <si>
    <t>23/46</t>
  </si>
  <si>
    <t>14 MVA</t>
  </si>
  <si>
    <t>Nueva S/E Carimallin (Ex S/E Los Notros)</t>
  </si>
  <si>
    <t>El proyecto consiste en el seccionamiento de la Línea 1x220 kV Rucatayo – Pichirrahue en la nueva S/E Carimallin.</t>
  </si>
  <si>
    <t>Instalación de Transformador TR-01 en Subestación ENAP N° 2</t>
  </si>
  <si>
    <t xml:space="preserve">El proyecto consiste en la instalación de un nuevo equipo transformador de poder TR-01 de 66/6,6/4,16 kV y potencia nominal de 40 MVA (50 MVA con ventilación forzada) como respaldo del transformador TR-02 existente en la Subestación ERBB-2, con el objetivo de incrementar la disponibilidad del suministro eléctrico de la Refinería Biobío. </t>
  </si>
  <si>
    <t>ENAP Refinerías S.A.</t>
  </si>
  <si>
    <t>50 MVA</t>
  </si>
  <si>
    <t>S/E Verbenas 220 kV (Ex Nueva S/E Seccionadora Tamarico-Caserones 220 kV)</t>
  </si>
  <si>
    <t>El proyecto consiste en la construcción de una nueva subestación en configuración interruptor y medio, que seccionará el circuito N° 1 de la línea 2x220 kV Maitencillo – Caserones para la conexión del proyecto Parque Solar Tamarico.</t>
  </si>
  <si>
    <t>Tamarico Solar Dos SpA</t>
  </si>
  <si>
    <t>Reemplazo TTCC paños K1 y K2 S/E Polpaico 500 kV - Etapa 1 y 2</t>
  </si>
  <si>
    <t>El proyecto consiste el reemplazo de los Transformadores de Corriente (TTCC) de los paños K1 y K2 de la Subestación Polpaico, en 2 etapas. La primera etapa, de carácter temporal, considera el traslado provisorio de TTCC del paño KR de la Subestación Ancoa a los paños K1 y K2 de la Subestación Polpaico en paralelo con los equipos existentes, en tanto, la segunda etapa y definitiva, considera el retorno a la Subestación Ancoa del TTCC trasladado temporalmente a la Subestación Polpaico, y el reemplazo de los actuales TTCC asociados a los paños K1, K2 y KR de la Subestación Polpaico por nuevos equipos definitivos.</t>
  </si>
  <si>
    <t>Relaves Filtrados Planta de Pellets</t>
  </si>
  <si>
    <t>El proyecto consiste en la apertura de la línea 1x110KV que alimenta la S/E Nueva Pellets para incorporar tres nuevas bahías GIS en configuración barra simple habilitando tres posiciones, para una bahía de entrada, una bahía para alimentar el transformador de 20 MVA existente y una tercera bahía para conectar el transformador de 7,5 MVA para alimentar las cargas del proyecto.</t>
  </si>
  <si>
    <t>Compañía Minera del Pacífico</t>
  </si>
  <si>
    <t>7,0 MW</t>
  </si>
  <si>
    <t>Aumento De Potencia S/E Los Piuquenes 220/23 kV</t>
  </si>
  <si>
    <t>El proyecto consiste en la conexión de una nueva celda N°42 en la Barra N°1 y la modificación de la celda existente N°17 en la Barra N°2, ambas en 23 kV.</t>
  </si>
  <si>
    <t>Minera Los Pelambres</t>
  </si>
  <si>
    <t>Nuevo Transformador 80/100 MVA Respaldo Sistema Eléctrico AZA</t>
  </si>
  <si>
    <t>El proyecto consiste en la instalación de un nuevo transformador 220/23 kV de 100 MVA en la S/E Lampa. El transformador se conecta la barra principal en configuración barra simple.</t>
  </si>
  <si>
    <t>Aceros AZA S.A.</t>
  </si>
  <si>
    <t>100,0 MW</t>
  </si>
  <si>
    <t>60,0 MW</t>
  </si>
  <si>
    <t>Suministro de Agua Desalada CODELCO Distrito Norte - Costa</t>
  </si>
  <si>
    <t>El proyecto consiste en la construcción de un nuevo paño H5 en tecnología AIS y configuración barra principal más transferencia en la S/E Central Tamaya 110 kV.</t>
  </si>
  <si>
    <t>78,7 MVA</t>
  </si>
  <si>
    <t>Odata ST01 Expansión</t>
  </si>
  <si>
    <t>El proyecto consiste en la instalación de una etapa de ventilación forzada ONAF en el transformador 220/23 kV 50 MVA para obtener una potencia total de 60 MVA.</t>
  </si>
  <si>
    <t>Odata Chile SpA</t>
  </si>
  <si>
    <t>Mejoramiento Sistema de Alimentación Eléctrica Metrotrén Nos</t>
  </si>
  <si>
    <t>El proyecto consiste en la instalación de un nuevo transformador 66/23 kV 8 MVA y la instalación de tres nuevas celdas 23 kV, con el objetivo de evacuar la energía hacia la nueva S/E SER NOS.</t>
  </si>
  <si>
    <t>Empresa de los Ferrocarriles del Estado</t>
  </si>
  <si>
    <t>8,0 MW</t>
  </si>
  <si>
    <t>Cambio de Paños en S/E Mulchén</t>
  </si>
  <si>
    <t>El proyecto consiste en el traslado del paño J7 de la S/E Mulchén de propiedad de Alfa Transmisora de Energía S.A, asociado a la LT 1x220 kV Renaico – Mulchén de propiedad de EGP, hacia la posición J13 de dicha subestación</t>
  </si>
  <si>
    <t>Enel Green Power Chile S.A.</t>
  </si>
  <si>
    <t>Conexión Proyecto Línea 7 de Metro de Santiago a S/E Cerro Navia</t>
  </si>
  <si>
    <t>El proyecto consiste en la instalación de dos transformadores de 220/20,4 kV de 80 MVA cada uno, ubicados al interior de la S/E Cerro Navia, los cuales se conectarán a las barras principales N°1 y N°2 del patio de 220 KV. Se considera la reutilización de 2 paños existentes (J1 y J2), el cual se denominarán JT8 y JT9, que serán en tecnología AIS y configuración barra simple más transferencia.</t>
  </si>
  <si>
    <t>Empresa de Transporte de Pasajeros Metro S.A.</t>
  </si>
  <si>
    <t>15,0 MW</t>
  </si>
  <si>
    <t>MVC-PY250-1403 Transformador principal alta potencia stand-by</t>
  </si>
  <si>
    <t>El proyecto consiste en la implementación de un cuarto transformador 154/23/4,16 kV 25 MVA en configuración barra simple en la S/E Minera Valle Central.</t>
  </si>
  <si>
    <t>Minera Valle Central S.A.</t>
  </si>
  <si>
    <t>25,0 MW</t>
  </si>
  <si>
    <t>Habilitación Transformador N°2 50 MVA 220/23 kV S/E Mantos Blancos</t>
  </si>
  <si>
    <t>El proyecto consiste en la habilitación del transformador T2 existente en el paño JT2, paño en tecnología AIS, configuración barra simple a la Barra Principal A de 23 kV de la S/E Mantos Blancos.</t>
  </si>
  <si>
    <t>Mantos Copper S.A.</t>
  </si>
  <si>
    <t>50,0 MVA</t>
  </si>
  <si>
    <t>Línea de Alta Tensión y Subestación Santa Teresa- Etapa 2</t>
  </si>
  <si>
    <t>El proyecto considera la instalación de dos bahías GIS en la S/E Seccionadora Nueva Lampa en 220 kV en configuración interruptor y medio (dos nuevas medias diagonales que constituirán los futuros paños J16, J17, J19 y J20), para la conexión del Mega Data Center Lampa.</t>
  </si>
  <si>
    <t>Electrica Santa Teresa SpA</t>
  </si>
  <si>
    <t>Planta Minera Mariposa</t>
  </si>
  <si>
    <t>El proyecto consiste en la conexión a la barra de 23 kV de la subestación Agrosuper con el objetivo de suministrar al proyecto minero Mariposa.</t>
  </si>
  <si>
    <t>Admiralty Minerals Chile PTY Ltd.</t>
  </si>
  <si>
    <t>10 MW</t>
  </si>
  <si>
    <t>Habilitación de la Celda H29 23 kV Alimentador DRR</t>
  </si>
  <si>
    <t>El proyecto considera la instalación de una celda en 23 kV, específicamente en la posición H-29 de la barra N°2 del switchgear 932-SG-001 de 23 kV, para la alimentación de nuevos consumos.</t>
  </si>
  <si>
    <t>Sociedad Contractual Minera Centinela</t>
  </si>
  <si>
    <t>Línea 2X23 KV S/E Padre Hurtado – DC Padre Hurtado</t>
  </si>
  <si>
    <t xml:space="preserve">El proyecto consiste en la construcción de una nueva línea 2x23 kV Padre Hurtado – DC Padre Hurtado, que se conectará en los paños E6 y E7 existentes de la S/E Padre Hurtado. </t>
  </si>
  <si>
    <t>Eléctrica Padre Hurtado SpA</t>
  </si>
  <si>
    <t>S/E Tap Off Las Garzas</t>
  </si>
  <si>
    <t>El proyecto consiste en la construcción de un sistema de impulsión o estación de bombeo de 20
MW, y cuyo punto de conexión al Sistema Eléctrico Nacional corresponde a la derivación de la línea
1x220 kV Central Quintero - San Luis en la estructura ID 85A</t>
  </si>
  <si>
    <t>Aguas Pacífico SpA</t>
  </si>
  <si>
    <t>20 MW</t>
  </si>
  <si>
    <t>Proyecto Minero Arqueros</t>
  </si>
  <si>
    <t>El proyecto consiste en la conexión a la barra de 110 kV de la subestación Damascal en configuración barra simple con barra de transferencia en el nuevo paño H3 con el objetivo de suministrar al proyecto minero Greenfield Arqueros.</t>
  </si>
  <si>
    <t>Compañía Minera Arqueros S.A.</t>
  </si>
  <si>
    <t>27 MW</t>
  </si>
  <si>
    <t>Sistema Eléctrico Tente en el Aire (TEA) - Agua de Mar Nueva Victoria</t>
  </si>
  <si>
    <t>El proyecto consiste en la construcción de dos nuevas subestaciones S/E Área Industrial 66 kV y S/E Principal 66 kV que se conectarán al Sistema Eléctrico Nacional a través de la nueva línea de transmisión 1x66 kV Principal-Tap Off Nueva Victoria.</t>
  </si>
  <si>
    <t>17,0 MW</t>
  </si>
  <si>
    <t>Línea de Alta Tensión y Subestación Santa Teresa</t>
  </si>
  <si>
    <t>El proyecto consiste en la construcción de una nueva LT 2x220 kV Nueva Lampa-Santa Teresa, de potencia de 200 MW. La LT se conecta a dos medias diagonales en tecnología GIS incorporando los interruptores 52J16, 52J17, 52J19 y 52J20. La primera etapa incluye la construcción de la línea desde la torre 1 a la torre 4.</t>
  </si>
  <si>
    <t>Eléctrica Santa Teresa SpA</t>
  </si>
  <si>
    <t>200,0 MW</t>
  </si>
  <si>
    <t>Proyecto Ampliación barra Subestación El Mauro 220kV </t>
  </si>
  <si>
    <t>Proyecto de consumo que contempla ampliación la barra S/E El Mauro 220kV y una línea eléctrica 2x33kV, para el funcionamiento de 2 estaciones nuevas de bombeo dentro del Tranque El Mauro, un switchgear GIS 245 kV, dos transformadores de 220/33kV@40 MVA, conservando el criterio N-1 en transformación.</t>
  </si>
  <si>
    <t>Compañía Minera Los Pelambres </t>
  </si>
  <si>
    <t>220 </t>
  </si>
  <si>
    <t>38 </t>
  </si>
  <si>
    <t>Mejora Operacional sistema de Impulsión Agua de Mar Etapa 1</t>
  </si>
  <si>
    <t>El proyecto consiste en la ampliación de la S/E Antucoya de 220/110kV e instalación de nuevo autotransformador de 220/110kV (60/80/100MVA) en reemplazo del autotransformador 23/110kV (10MVA).</t>
  </si>
  <si>
    <t>Mejora Operacional sistema de Impulsión Agua de Mar Etapa 2</t>
  </si>
  <si>
    <t>El proyecto consiste en el aumento de capacidad de transmisión de línea 1x110 kV Muelle - Antucoya incrementando la temperatura de operación desde 50°C a 60°C, con obras que contemplan retensado, escarpes e interposición y/o intercalación de estructuras.</t>
  </si>
  <si>
    <t>Mejora Operacional sistema de Impulsión Agua de Mar Etapa 3</t>
  </si>
  <si>
    <t>El proyecto consiste en la construcción de la nueva S/E Seccionadora EB1A que seccionará la línea 1x110 kV Muelle - Antucoya. Esta S/E tendrá una configuración barra simple en tecnología AIS y tendrá dos transformadores de 25 MVA-110/6,9 kV.</t>
  </si>
  <si>
    <t>Mejora Operacional sistema de Impulsión Agua de Mar Etapa 4</t>
  </si>
  <si>
    <t>El proyecto consiste en la construcción de la nueva S/E Tap-Off EB2A que conectará en derivación a la línea 1x110 kV Muelle – Antucoya dos transformadores de 25MVA-110/6,9 kV.</t>
  </si>
  <si>
    <t>Aumento de Demanda en Subestación Los Vilos de Minera Los Pelambres</t>
  </si>
  <si>
    <t>El proyecto consiste en la instalación de 5 celdas de 23 KV en instalaciones del Área Puerto de Minera Los Pelambres, al interior de la Sala Eléctrica existente0587-ER-6001, anexa a su planta Desaladora, que energizará la nueva sala eléctrica del proyecto PAO 0587-ER-6011, para un aumento de demanda de hasta 12 MW de la referida Desaladora, este aumento de demanda se suministrará desde la S/E Los Vilos sin intervenir dicha subestación.</t>
  </si>
  <si>
    <t>12 MW</t>
  </si>
  <si>
    <t>SE 417 y Línea de 69 kV “Tap Off 416 – Tap Off 417”</t>
  </si>
  <si>
    <t>El proyecto consiste en la construcción de la nueva S/E 417 en tecnología GIS, configuración barra simple que alojará un transformador de 10 MVA 69/4,16 kV, para alimentar la nueva torre de captación WRT3</t>
  </si>
  <si>
    <t>Minera Escondida Limitada</t>
  </si>
  <si>
    <t>6 MW</t>
  </si>
  <si>
    <t>SynCon U15 Tocopilla</t>
  </si>
  <si>
    <t>El proyecto consiste en la reconversión de la unidad U15, de una unidad de generación impulsada por una turbina de vapor a un condensador sincrónico mediante el desacople de la turbina de vapor, la instalación de un motor de partida y volante de inercia, entre otras modificaciones.</t>
  </si>
  <si>
    <t>7 MW</t>
  </si>
  <si>
    <t>El Espino</t>
  </si>
  <si>
    <t>El proyecto consiste en la construcción de un nuevo paño en tecnología AIS y configuración barra principal y transferencia para la conexión del proyecto minero El Espino. El proyecto incluye además la instalación de un transformador 25 MVA 110/23 kV y una barra MT en tecnología AIS con al menos una posición para el transformador y dos paños para la alimentación de la minera.</t>
  </si>
  <si>
    <t>El Espino SpA</t>
  </si>
  <si>
    <t>mar-26</t>
  </si>
  <si>
    <t>Línea de Alta Tensión y Subestación Santa Teresa - Etapa 3</t>
  </si>
  <si>
    <t>El proyecto consiste en la construcción de una nueva LT 2x220 kV Nueva Lampa-Santa Teresa, de potencia de 200 MW. La LT se conecta a dos medias diagonales en tecnología GIS incorporando los interruptores 52J16, 52J17, 52J19 y 52J20. La tercera etapa incluye la construcción de la línea desde la torre 5 a la torre 19.</t>
  </si>
  <si>
    <t>oct-25</t>
  </si>
  <si>
    <t>Proyecto Relaves Espesados Talabre Etapa 1</t>
  </si>
  <si>
    <t>El proyecto consiste en la instalación de una nueva bahía GIS en la S/E Tchitack en configuración barra principal y transferencia para la conexión de la nueva LT 1x220 kV Tchitak-PRET.</t>
  </si>
  <si>
    <t>Proyecto Relaves Espesados Talabre Etapa 2</t>
  </si>
  <si>
    <t>En proyecto consiste en la construcción de la nueva LT 1x220 kV Tchitack-PRET y la nueva S/E PRET en tecnología AIS configuración barra principal y barra de transferencia, en esta subestación se instalarán dos transformadores de poder de 100 MVA 220/34,5 kV que suministrarán energía a la Planta Relaves Espesados Talabre</t>
  </si>
  <si>
    <t>XIII. Proyectos autorizados de acuerdo al artículo 102° de la Ley</t>
  </si>
  <si>
    <t>Resolución Exenta CNE</t>
  </si>
  <si>
    <t>Fecha de entrada en operación según Resoluciones Exentas CNE</t>
  </si>
  <si>
    <t>Aumento de capacidad línea 1x110 kV Puente Alto - Las Vizcachas</t>
  </si>
  <si>
    <t>19/2020</t>
  </si>
  <si>
    <t>Empresa Eléctrica de Puente Alto S.A.</t>
  </si>
  <si>
    <t>Se modifica el plazo para la entrada en operación de la obra autorizada mediante Resolución CNE N° 19, de 20 de enero de 2020, que “Autoriza ejecución de las obras de transmisión del proyecto “Seccionamiento línea 2x110 kV Alto Jahuel – Florida, construcción de nueva subestación Bajos de Mena, construcción de nueva línea de transmisión 1x110 kV Bajos de Mena – Costanera, aumento de capacidad línea 1x110 kV Costanera – Puente Alto y aumento de capacidad línea 1x110 kV Puente Alto – Las Vizcachas” que se indican, de Empresa Eléctrica de Puente Alto S.A., de acuerdo a lo establecido en el inciso segundo del artículo 102° de la Ley General de Servicios Eléctricos”, mediante Resolución Exenta CNE N° 747, de 23 de septiembre de 2022.</t>
  </si>
  <si>
    <t>Sistema de Almacenamiento Subestación Nueva Imperial</t>
  </si>
  <si>
    <t>657/2022</t>
  </si>
  <si>
    <t>Se modifica el plazo para la entrada en operación de la obra autorizada mediante Resolución CNE N° 202, de 25 de abril de 2024, que “Autoriza ejecución de las obras de transmisión del proyecto “Sistema de Almacenamiento Subestación Nueva Imperial”, que se indican, de Sistema de Transmisión del Sur S.A., de acuerdo a lo establecido en el inciso segundo del artículo 102° de la Ley General de Servicios Eléctricos.”, mediante Resolución Exenta CNE N° 202, de 25 de abril de 2024.</t>
  </si>
  <si>
    <t>Nueva Línea de Transmisión 1x66 kV Los Canelos – Lucero</t>
  </si>
  <si>
    <t>198/2020</t>
  </si>
  <si>
    <t>Nueva Subestación Providencia</t>
  </si>
  <si>
    <t>91/2020</t>
  </si>
  <si>
    <t>Se modifica el Titular del proyecto indicado en la Resolución CNE N° 91, de 18 de marzo de 2020, que “Autoriza ejecución de las obras de transmisión del proyecto “Nueva Subestación Providencia, Nueva Línea de Transmisión Subterránea 2x110 kV Vitacura – Providencia y Modificaciones en Subestación Vitacura” que se indican, de Enel Distribución Chile S.A., de acuerdo a lo establecido en el inciso segundo del artículo 102° de la Ley General de Servicios Eléctricos”, mediante Resolución Exenta CNE N° 295, de 18 de julio de 2023.</t>
  </si>
  <si>
    <t>Nueva Línea de Transmisión Subterránea 2x110 kV Vitacura – Providencia</t>
  </si>
  <si>
    <t>Modificaciones en S/E Vitacura</t>
  </si>
  <si>
    <t xml:space="preserve">Se modifica el plazo para la entrada en operación de la obra autorizada mediante Resolución CNE N° 91, de 18 de marzo de 2020, que “Autoriza ejecución de las obras de transmisión del proyecto “Nueva Subestación Providencia, Nueva Línea de Transmisión Subterránea 2x110 kV Vitacura – Providencia y Modificaciones en Subestación Vitacura” que se indican, de Enel Distribución Chile S.A., de acuerdo a lo establecido en el inciso segundo del artículo 102° de la Ley General de Servicios Eléctricos”, mediante Resolución Exenta CNE N° 64, de 10 de marzo de 2021. Adicionalmente, en dicha resolución se incluye el cambio de responsable informado por la empresa en su carta Ger Gen N° 03/2021 de 12 de enero de 2021.  </t>
  </si>
  <si>
    <t>Nueva línea de transmisión 1x110 kV Bajos de Mena - Costanera</t>
  </si>
  <si>
    <t>Se modifica el plazo para la entrada en operación de la obra autorizada mediante Resolución CNE N° 19, de 20 de enero de 2020, que “Autoriza ejecución de las obras de transmisión del proyecto “Seccionamiento línea 2x110 kV Alto Jahuel – Florida, construcción de nueva subestación Bajos de Mena, construcción de nueva línea de transmisión 1x110 kV Bajos de Mena – Costanera, aumento de capacidad línea 1x110 kV Costanera – Puente Alto y aumento de capacidad línea 1x110 kV Puente Alto – Las Vizcachas” que se indican, de Empresa Eléctrica de Puente Alto S.A., de acuerdo a lo establecido en el inciso segundo del artículo 102° de la Ley General de Servicios Eléctricos”, mediante Resolución Exenta CNE N° 368, de 19 de julio de 2024.</t>
  </si>
  <si>
    <t>10/2023</t>
  </si>
  <si>
    <t>Seccionamiento línea 1x66 kV Portezuelo - La Esperanza CGE</t>
  </si>
  <si>
    <t>Ampliación en S/E O’Higgins 220 kV</t>
  </si>
  <si>
    <t>116/2025</t>
  </si>
  <si>
    <t>KELTI S.A.</t>
  </si>
  <si>
    <t>Nueva SE Seccionadora TEA</t>
  </si>
  <si>
    <t>203/2024</t>
  </si>
  <si>
    <t>Nueva S/E Seccionadora La Yesera 110 kV</t>
  </si>
  <si>
    <t>496/2024</t>
  </si>
  <si>
    <t>Sociedad Punta del Cobre S.A.</t>
  </si>
  <si>
    <t>Subestación Seccionadora Cancura</t>
  </si>
  <si>
    <t>12/2022</t>
  </si>
  <si>
    <t>Se modifica la titularidad de la obra autorizada mediante Resolución CNE N° 12, de 6 de enero de 2022, que “Autoriza ejecución de las obras de transmisión del proyecto “Subestación Seccionadora Cancura”, que se indican, de Vientos de Renaico SpA, de acuerdo a lo establecido en el inciso segundo del artículo 102° de la Ley General de Servicios Eléctricos”, mediante Resolución Exenta CNE N° 597, de 4 de diciembre de 2023.</t>
  </si>
  <si>
    <t>Ampliación SE Seccionadora Solís 154 kV</t>
  </si>
  <si>
    <t>647/2024</t>
  </si>
  <si>
    <t>Nuevo Transformador AT/MT en S/E Chacabuco</t>
  </si>
  <si>
    <t>190/2025</t>
  </si>
  <si>
    <t>Sociedad Transmisora Metropolitana S.A.</t>
  </si>
  <si>
    <t>DC Curauma Fase 2</t>
  </si>
  <si>
    <t>8/2024</t>
  </si>
  <si>
    <t>Scala Data Centers Chile SpA</t>
  </si>
  <si>
    <t>Se modifica el plazo de la obra autorizada mediante Resolución CNE N° 8, de 9 de enero de 2024, que “Autoriza ejecución de las obras de transmisión del proyecto “DC Curauma Fase 2”, que se indican, de Scala Data Centers Chile SpA, de acuerdo a lo establecido en el inciso segundo del artículo 102° de la Ley General de Servicios Eléctricos”, mediante Resolución Exenta CNE N° 245, de 16 de mayo de 2025.</t>
  </si>
  <si>
    <t>Ampliación en S/E Monte Mina 220 kV</t>
  </si>
  <si>
    <t>51/2025</t>
  </si>
  <si>
    <t>Nueva S/E Seccionadora San Camilo 110 kV</t>
  </si>
  <si>
    <t>125/2025</t>
  </si>
  <si>
    <t>Trends Industrial S.A.</t>
  </si>
  <si>
    <t>Nueva SE Seccionadora Enea 110
kV</t>
  </si>
  <si>
    <t>171/2024</t>
  </si>
  <si>
    <t>Sistema de Transmisión del
Sur S.A.</t>
  </si>
  <si>
    <t>Nueva SE Seccionadora Alto de Ramírez</t>
  </si>
  <si>
    <t>220/2024</t>
  </si>
  <si>
    <t>Nueva S/E Seccionadora Llanos de Rungue</t>
  </si>
  <si>
    <t>176/2025</t>
  </si>
  <si>
    <t>UKA Chile y Cía.</t>
  </si>
  <si>
    <t>SEPTIEMBRE DE 2025</t>
  </si>
  <si>
    <t>520/2025</t>
  </si>
  <si>
    <t>522/2025</t>
  </si>
  <si>
    <t>523/2025</t>
  </si>
  <si>
    <t>BESS Charrabata 2</t>
  </si>
  <si>
    <t>Transelec S.A.; Pacific Hydro Punta Sierra SpA; Compañía Transmisora La Cebada S.A.</t>
  </si>
  <si>
    <t>Modificado por Decreto N° 4T de 10 de marzo de 2025, del Ministerio de Energía.</t>
  </si>
  <si>
    <t>Modificado por Decreto Exento N° 226 de 20 de agosto de 2025, del Ministerio de Energía.</t>
  </si>
  <si>
    <t>Modificado por Decreto N° 219 de 13 de agosto de 2025, del Ministerio de Energía</t>
  </si>
  <si>
    <t>Alto Huemul Transmisión SpA</t>
  </si>
  <si>
    <t>BESS Doña Antonia 33kV</t>
  </si>
  <si>
    <t>Doña Antonia Solar SpA</t>
  </si>
  <si>
    <t>519/2025</t>
  </si>
  <si>
    <t>S/E Doña Antonia 33 kV</t>
  </si>
  <si>
    <t>Planta Solar Fotovoltaica Doña Antonia</t>
  </si>
  <si>
    <t>PRP Melipulli</t>
  </si>
  <si>
    <t>Llonquén Energías SpA</t>
  </si>
  <si>
    <t>585/2025</t>
  </si>
  <si>
    <t>Alimentador Sangra 23 kV, S/E Melipulli</t>
  </si>
  <si>
    <t>CRCA La Pampina</t>
  </si>
  <si>
    <t>GM Energy SpA</t>
  </si>
  <si>
    <t>Caseta Ampliación S/E Ceme 1 en 33 kV</t>
  </si>
  <si>
    <t>PSF BESS San Ramón</t>
  </si>
  <si>
    <t>567/2025</t>
  </si>
  <si>
    <t>Alimentador Puertas de Fierro 15 kV, S/E Punta Cortés</t>
  </si>
  <si>
    <t>BESS Granja Solar</t>
  </si>
  <si>
    <t>Copec Renovables SpA</t>
  </si>
  <si>
    <t>542/2025</t>
  </si>
  <si>
    <t>S/E Granja Solar 33 kV</t>
  </si>
  <si>
    <t>Línea 23 kV Molynor</t>
  </si>
  <si>
    <t>Complejo Industrial Molynor S.A.</t>
  </si>
  <si>
    <t>BESS Sol de Los Andes</t>
  </si>
  <si>
    <t>Sol de Los Andes SpA</t>
  </si>
  <si>
    <t>566/2025</t>
  </si>
  <si>
    <t>S/E Sol de Los Andes 33 kV</t>
  </si>
  <si>
    <t>BESS DUNE</t>
  </si>
  <si>
    <t>BESS La Pampina</t>
  </si>
  <si>
    <t>PE Kallpa</t>
  </si>
  <si>
    <t>PE Punta de Talca</t>
  </si>
  <si>
    <t>PFV Granja Solar</t>
  </si>
  <si>
    <t>PFV Sol de Los Andes</t>
  </si>
  <si>
    <t>El proyecto consiste en la instalación de un nuevo paño E5 en la S/E Mejillones propiedad de Engie Energía Chile en 23 kV, tecnología AIS y configuración barra simple para alimentar los consumos del Complejo Industrial Molynor.</t>
  </si>
  <si>
    <t>En proyecto consiste en la construcción de una caseta de ampliación de subestación CEME 1 en 33 kV en tecnología GIS y configuración Barra Simple Seccionada que permitirá la conexión del Proyecto BESS Dune. Esta instalación también dispondrá de posiciones adicionales para la normalización de la conexión de la central PFV CEME 1, actualmente en operación, y para una nueva instalación de generación denominada “Proyecto CRCA La Pampina”</t>
  </si>
  <si>
    <t>603/2025</t>
  </si>
  <si>
    <t>604/2025</t>
  </si>
  <si>
    <t>Nueva S/E Seccionadora Punta Verde 110 kV</t>
  </si>
  <si>
    <t>550/2025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</si>
</sst>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1"/>
      <color theme="1"/>
      <name val="Calibri"/>
      <family val="2"/>
      <scheme val="minor"/>
    </font>
    <font>
      <sz val="11"/>
      <color theme="0"/>
      <name val="Calibri"/>
      <family val="2"/>
      <scheme val="minor"/>
    </font>
    <font>
      <sz val="36"/>
      <color theme="4"/>
      <name val="Calibri"/>
      <family val="2"/>
      <scheme val="minor"/>
    </font>
    <font>
      <i/>
      <sz val="36"/>
      <color theme="4"/>
      <name val="Calibri Light"/>
      <family val="2"/>
    </font>
    <font>
      <i/>
      <sz val="36"/>
      <color theme="4"/>
      <name val="Calibri"/>
      <family val="2"/>
      <scheme val="minor"/>
    </font>
    <font>
      <u/>
      <sz val="11"/>
      <color theme="10"/>
      <name val="Calibri"/>
      <family val="2"/>
      <scheme val="minor"/>
    </font>
    <font>
      <sz val="9"/>
      <color rgb="FFFFFFFF"/>
      <name val="Calibri"/>
      <family val="2"/>
      <scheme val="minor"/>
    </font>
    <font>
      <sz val="9"/>
      <color rgb="FF000000"/>
      <name val="Calibri"/>
      <family val="2"/>
      <scheme val="minor"/>
    </font>
    <font>
      <sz val="8"/>
      <color rgb="FF000000"/>
      <name val="Calibri"/>
      <family val="2"/>
      <scheme val="minor"/>
    </font>
    <font>
      <sz val="9"/>
      <color theme="1"/>
      <name val="Calibri"/>
      <family val="2"/>
      <scheme val="minor"/>
    </font>
    <font>
      <sz val="8"/>
      <color theme="1"/>
      <name val="Calibri"/>
      <family val="2"/>
      <scheme val="minor"/>
    </font>
    <font>
      <i/>
      <sz val="8"/>
      <color theme="1"/>
      <name val="Calibri"/>
      <family val="2"/>
      <scheme val="minor"/>
    </font>
    <font>
      <sz val="9"/>
      <name val="Calibri"/>
      <family val="2"/>
      <scheme val="minor"/>
    </font>
    <font>
      <sz val="9"/>
      <name val="Calibri"/>
      <family val="2"/>
    </font>
    <font>
      <sz val="8"/>
      <name val="Calibri"/>
      <family val="2"/>
      <scheme val="minor"/>
    </font>
    <font>
      <sz val="9"/>
      <color rgb="FF000000"/>
      <name val="Calibri"/>
      <family val="2"/>
    </font>
    <font>
      <sz val="9"/>
      <color theme="1"/>
      <name val="Calibri"/>
      <family val="2"/>
    </font>
    <font>
      <i/>
      <sz val="11"/>
      <color theme="1"/>
      <name val="Calibri"/>
      <family val="2"/>
      <scheme val="minor"/>
    </font>
    <font>
      <sz val="8"/>
      <color theme="1"/>
      <name val="Verdana"/>
      <family val="2"/>
    </font>
  </fonts>
  <fills count="6">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rgb="FFFFFF00"/>
        <bgColor indexed="64"/>
      </patternFill>
    </fill>
    <fill>
      <patternFill patternType="solid">
        <fgColor rgb="FF4F81BD"/>
        <bgColor indexed="64"/>
      </patternFill>
    </fill>
  </fills>
  <borders count="16">
    <border>
      <left/>
      <right/>
      <top/>
      <bottom/>
      <diagonal/>
    </border>
    <border>
      <left/>
      <right style="thin">
        <color indexed="64"/>
      </right>
      <top/>
      <bottom/>
      <diagonal/>
    </border>
    <border>
      <left style="medium">
        <color rgb="FF4F81BD"/>
      </left>
      <right style="medium">
        <color rgb="FF4F81BD"/>
      </right>
      <top style="medium">
        <color rgb="FF4F81BD"/>
      </top>
      <bottom style="medium">
        <color rgb="FF4F81BD"/>
      </bottom>
      <diagonal/>
    </border>
    <border>
      <left/>
      <right style="medium">
        <color rgb="FF4F81BD"/>
      </right>
      <top style="medium">
        <color rgb="FF4F81BD"/>
      </top>
      <bottom style="medium">
        <color rgb="FF4F81BD"/>
      </bottom>
      <diagonal/>
    </border>
    <border>
      <left style="medium">
        <color rgb="FF5B9BD5"/>
      </left>
      <right style="medium">
        <color rgb="FF5B9BD5"/>
      </right>
      <top/>
      <bottom style="medium">
        <color rgb="FF5B9BD5"/>
      </bottom>
      <diagonal/>
    </border>
    <border>
      <left/>
      <right style="medium">
        <color rgb="FF5B9BD5"/>
      </right>
      <top/>
      <bottom style="medium">
        <color rgb="FF5B9BD5"/>
      </bottom>
      <diagonal/>
    </border>
    <border>
      <left style="medium">
        <color rgb="FF5B9BD5"/>
      </left>
      <right style="medium">
        <color rgb="FF5B9BD5"/>
      </right>
      <top/>
      <bottom style="medium">
        <color rgb="FF4F81BD"/>
      </bottom>
      <diagonal/>
    </border>
    <border>
      <left/>
      <right style="medium">
        <color rgb="FF5B9BD5"/>
      </right>
      <top/>
      <bottom style="medium">
        <color rgb="FF4F81BD"/>
      </bottom>
      <diagonal/>
    </border>
    <border>
      <left/>
      <right style="medium">
        <color rgb="FF4F81BD"/>
      </right>
      <top/>
      <bottom style="medium">
        <color rgb="FF4F81BD"/>
      </bottom>
      <diagonal/>
    </border>
    <border>
      <left style="medium">
        <color rgb="FF4F81BD"/>
      </left>
      <right style="medium">
        <color rgb="FF4F81BD"/>
      </right>
      <top/>
      <bottom style="medium">
        <color rgb="FF4F81BD"/>
      </bottom>
      <diagonal/>
    </border>
    <border>
      <left style="medium">
        <color rgb="FF4F81BD"/>
      </left>
      <right style="medium">
        <color rgb="FF4F81BD"/>
      </right>
      <top/>
      <bottom style="medium">
        <color rgb="FF4472C4"/>
      </bottom>
      <diagonal/>
    </border>
    <border>
      <left/>
      <right style="medium">
        <color rgb="FF4F81BD"/>
      </right>
      <top/>
      <bottom style="medium">
        <color rgb="FF4472C4"/>
      </bottom>
      <diagonal/>
    </border>
    <border>
      <left/>
      <right style="medium">
        <color rgb="FF4472C4"/>
      </right>
      <top/>
      <bottom style="medium">
        <color rgb="FF4F81BD"/>
      </bottom>
      <diagonal/>
    </border>
    <border>
      <left style="medium">
        <color rgb="FF4F81BD"/>
      </left>
      <right style="medium">
        <color rgb="FF5B9BD5"/>
      </right>
      <top/>
      <bottom style="medium">
        <color rgb="FF5B9BD5"/>
      </bottom>
      <diagonal/>
    </border>
    <border>
      <left/>
      <right style="medium">
        <color rgb="FF4F81BD"/>
      </right>
      <top/>
      <bottom style="medium">
        <color rgb="FF5B9BD5"/>
      </bottom>
      <diagonal/>
    </border>
    <border>
      <left style="medium">
        <color rgb="FF4F81BD"/>
      </left>
      <right style="medium">
        <color rgb="FF5B9BD5"/>
      </right>
      <top/>
      <bottom style="medium">
        <color rgb="FF4F81BD"/>
      </bottom>
      <diagonal/>
    </border>
  </borders>
  <cellStyleXfs count="2">
    <xf numFmtId="0" fontId="0" fillId="0" borderId="0"/>
    <xf numFmtId="0" fontId="6" fillId="0" borderId="0" applyNumberFormat="0" applyFill="0" applyBorder="0" applyAlignment="0" applyProtection="0"/>
  </cellStyleXfs>
  <cellXfs count="131">
    <xf numFmtId="0" fontId="0" fillId="0" borderId="0" xfId="0"/>
    <xf numFmtId="0" fontId="2" fillId="2" borderId="0" xfId="0" applyFont="1" applyFill="1" applyAlignment="1">
      <alignment horizontal="center"/>
    </xf>
    <xf numFmtId="0" fontId="0" fillId="0" borderId="1" xfId="0" applyBorder="1"/>
    <xf numFmtId="0" fontId="0" fillId="3" borderId="0" xfId="0" applyFill="1"/>
    <xf numFmtId="0" fontId="5" fillId="0" borderId="1" xfId="0" applyFont="1" applyBorder="1" applyAlignment="1">
      <alignment horizontal="left" vertical="center"/>
    </xf>
    <xf numFmtId="0" fontId="6" fillId="0" borderId="1" xfId="1" applyBorder="1"/>
    <xf numFmtId="0" fontId="7" fillId="5" borderId="2"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1" fillId="3" borderId="0" xfId="0" applyFont="1" applyFill="1"/>
    <xf numFmtId="0" fontId="8" fillId="3" borderId="4" xfId="0" applyFont="1" applyFill="1" applyBorder="1" applyAlignment="1">
      <alignment vertical="center" wrapText="1"/>
    </xf>
    <xf numFmtId="0" fontId="8" fillId="3" borderId="5" xfId="0" applyFont="1" applyFill="1" applyBorder="1" applyAlignment="1">
      <alignment horizontal="center" vertical="center" wrapText="1"/>
    </xf>
    <xf numFmtId="17" fontId="8" fillId="3" borderId="5" xfId="0" applyNumberFormat="1" applyFont="1" applyFill="1" applyBorder="1" applyAlignment="1">
      <alignment horizontal="center" vertical="center" wrapText="1"/>
    </xf>
    <xf numFmtId="0" fontId="9" fillId="3" borderId="5" xfId="0" applyFont="1" applyFill="1" applyBorder="1" applyAlignment="1">
      <alignment horizontal="center" vertical="center" wrapText="1"/>
    </xf>
    <xf numFmtId="14" fontId="0" fillId="3" borderId="0" xfId="0" applyNumberFormat="1" applyFill="1"/>
    <xf numFmtId="17" fontId="8" fillId="0" borderId="5" xfId="0" applyNumberFormat="1" applyFont="1" applyBorder="1" applyAlignment="1">
      <alignment horizontal="center" vertical="center" wrapText="1"/>
    </xf>
    <xf numFmtId="0" fontId="8" fillId="0" borderId="8" xfId="0" applyFont="1" applyBorder="1" applyAlignment="1">
      <alignment horizontal="center" vertical="center" wrapText="1"/>
    </xf>
    <xf numFmtId="17" fontId="8" fillId="0" borderId="5" xfId="0" quotePrefix="1" applyNumberFormat="1" applyFont="1" applyBorder="1" applyAlignment="1">
      <alignment horizontal="center" vertical="center" wrapText="1"/>
    </xf>
    <xf numFmtId="0" fontId="8" fillId="0" borderId="5" xfId="0" applyFont="1" applyBorder="1" applyAlignment="1">
      <alignment horizontal="center" vertical="center" wrapText="1"/>
    </xf>
    <xf numFmtId="0" fontId="11" fillId="0" borderId="4" xfId="0" applyFont="1" applyBorder="1" applyAlignment="1">
      <alignment horizontal="center" vertical="center" wrapText="1"/>
    </xf>
    <xf numFmtId="0" fontId="10" fillId="0" borderId="4" xfId="0" applyFont="1" applyBorder="1" applyAlignment="1">
      <alignment horizontal="left" vertical="center" wrapText="1"/>
    </xf>
    <xf numFmtId="0" fontId="10" fillId="0" borderId="4" xfId="0" applyFont="1" applyBorder="1" applyAlignment="1">
      <alignment horizontal="center" vertical="center" wrapText="1"/>
    </xf>
    <xf numFmtId="17" fontId="10" fillId="0" borderId="4" xfId="0" applyNumberFormat="1" applyFont="1" applyBorder="1" applyAlignment="1">
      <alignment horizontal="center" vertical="center" wrapText="1"/>
    </xf>
    <xf numFmtId="17" fontId="13" fillId="0" borderId="4" xfId="0" applyNumberFormat="1" applyFont="1" applyBorder="1" applyAlignment="1">
      <alignment horizontal="center" vertical="center" wrapText="1"/>
    </xf>
    <xf numFmtId="0" fontId="11" fillId="0" borderId="4" xfId="0" quotePrefix="1" applyFont="1" applyBorder="1" applyAlignment="1">
      <alignment horizontal="center" vertical="center" wrapText="1"/>
    </xf>
    <xf numFmtId="0" fontId="8" fillId="0" borderId="6" xfId="0" applyFont="1" applyBorder="1" applyAlignment="1">
      <alignment horizontal="left" vertical="center" wrapText="1"/>
    </xf>
    <xf numFmtId="0" fontId="8" fillId="0" borderId="7" xfId="0" applyFont="1" applyBorder="1" applyAlignment="1">
      <alignment horizontal="center" vertical="center" wrapText="1"/>
    </xf>
    <xf numFmtId="17" fontId="8" fillId="0" borderId="7" xfId="0" applyNumberFormat="1" applyFont="1" applyBorder="1" applyAlignment="1">
      <alignment horizontal="center" vertical="center" wrapText="1"/>
    </xf>
    <xf numFmtId="0" fontId="8" fillId="0" borderId="4" xfId="0" applyFont="1" applyBorder="1" applyAlignment="1">
      <alignment vertical="center" wrapText="1"/>
    </xf>
    <xf numFmtId="0" fontId="9" fillId="0" borderId="5" xfId="0" applyFont="1" applyBorder="1" applyAlignment="1">
      <alignment horizontal="center" vertical="center" wrapText="1"/>
    </xf>
    <xf numFmtId="0" fontId="8" fillId="0" borderId="6" xfId="0" applyFont="1" applyBorder="1" applyAlignment="1">
      <alignment vertical="center" wrapText="1"/>
    </xf>
    <xf numFmtId="0" fontId="8" fillId="0" borderId="15" xfId="0" applyFont="1" applyBorder="1" applyAlignment="1">
      <alignment horizontal="left" vertical="center" wrapText="1"/>
    </xf>
    <xf numFmtId="0" fontId="8" fillId="0" borderId="14" xfId="0" applyFont="1" applyBorder="1" applyAlignment="1">
      <alignment horizontal="center" vertical="center" wrapText="1"/>
    </xf>
    <xf numFmtId="17" fontId="8" fillId="0" borderId="7" xfId="0" quotePrefix="1" applyNumberFormat="1" applyFont="1" applyBorder="1" applyAlignment="1">
      <alignment horizontal="center" vertical="center" wrapText="1"/>
    </xf>
    <xf numFmtId="0" fontId="8" fillId="0" borderId="13" xfId="0" applyFont="1" applyBorder="1" applyAlignment="1">
      <alignment horizontal="left" vertical="center" wrapText="1"/>
    </xf>
    <xf numFmtId="0" fontId="8" fillId="0" borderId="4" xfId="0" applyFont="1" applyBorder="1" applyAlignment="1">
      <alignment horizontal="left" vertical="center" wrapText="1"/>
    </xf>
    <xf numFmtId="0" fontId="8" fillId="0" borderId="5" xfId="0" quotePrefix="1" applyFont="1" applyBorder="1" applyAlignment="1">
      <alignment horizontal="center" vertical="center" wrapText="1"/>
    </xf>
    <xf numFmtId="17" fontId="10" fillId="0" borderId="0" xfId="0" applyNumberFormat="1" applyFont="1"/>
    <xf numFmtId="0" fontId="18" fillId="3" borderId="0" xfId="0" applyFont="1" applyFill="1"/>
    <xf numFmtId="17" fontId="0" fillId="3" borderId="0" xfId="0" applyNumberFormat="1" applyFill="1"/>
    <xf numFmtId="0" fontId="0" fillId="3" borderId="0" xfId="0" quotePrefix="1" applyFill="1" applyAlignment="1">
      <alignment wrapText="1"/>
    </xf>
    <xf numFmtId="0" fontId="0" fillId="4" borderId="0" xfId="0" applyFill="1"/>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17" fontId="13" fillId="0" borderId="5" xfId="0" applyNumberFormat="1" applyFont="1" applyBorder="1" applyAlignment="1">
      <alignment horizontal="center" vertical="center" wrapText="1"/>
    </xf>
    <xf numFmtId="164" fontId="13" fillId="0" borderId="5" xfId="0" applyNumberFormat="1" applyFont="1" applyBorder="1" applyAlignment="1">
      <alignment horizontal="center" vertical="center" wrapText="1"/>
    </xf>
    <xf numFmtId="0" fontId="15" fillId="0" borderId="5" xfId="0" applyFont="1" applyBorder="1" applyAlignment="1">
      <alignment horizontal="center" vertical="center" wrapText="1"/>
    </xf>
    <xf numFmtId="0" fontId="16"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17" fontId="13" fillId="0" borderId="8" xfId="0" applyNumberFormat="1" applyFont="1" applyBorder="1" applyAlignment="1">
      <alignment horizontal="center" vertical="center" wrapText="1"/>
    </xf>
    <xf numFmtId="17" fontId="17" fillId="0" borderId="3" xfId="0" applyNumberFormat="1" applyFont="1" applyBorder="1" applyAlignment="1">
      <alignment horizontal="center" vertical="center" wrapText="1"/>
    </xf>
    <xf numFmtId="0" fontId="8" fillId="0" borderId="9" xfId="0" applyFont="1" applyBorder="1" applyAlignment="1">
      <alignment horizontal="center" vertical="center" wrapText="1"/>
    </xf>
    <xf numFmtId="17" fontId="13" fillId="0" borderId="3" xfId="0" applyNumberFormat="1" applyFont="1" applyBorder="1" applyAlignment="1">
      <alignment horizontal="center" vertical="center" wrapText="1"/>
    </xf>
    <xf numFmtId="0" fontId="14" fillId="0" borderId="9" xfId="0" applyFont="1" applyBorder="1" applyAlignment="1">
      <alignment horizontal="center" vertical="center" wrapText="1"/>
    </xf>
    <xf numFmtId="0" fontId="14" fillId="0" borderId="8" xfId="0" applyFont="1" applyBorder="1" applyAlignment="1">
      <alignment horizontal="left" vertical="center" wrapText="1"/>
    </xf>
    <xf numFmtId="0" fontId="14" fillId="0" borderId="8" xfId="0" applyFont="1" applyBorder="1" applyAlignment="1">
      <alignment horizontal="center" vertical="center" wrapText="1"/>
    </xf>
    <xf numFmtId="17" fontId="14" fillId="0" borderId="8" xfId="0" applyNumberFormat="1" applyFont="1" applyBorder="1" applyAlignment="1">
      <alignment horizontal="center" vertical="center" wrapText="1"/>
    </xf>
    <xf numFmtId="0" fontId="14" fillId="0" borderId="3" xfId="0" applyFont="1" applyBorder="1" applyAlignment="1">
      <alignment horizontal="left" vertical="center" wrapText="1"/>
    </xf>
    <xf numFmtId="17" fontId="14" fillId="0" borderId="3" xfId="0" applyNumberFormat="1" applyFont="1" applyBorder="1" applyAlignment="1">
      <alignment horizontal="center" vertical="center" wrapText="1"/>
    </xf>
    <xf numFmtId="0" fontId="13" fillId="0" borderId="3" xfId="0" applyFont="1" applyBorder="1" applyAlignment="1">
      <alignment horizontal="left" vertical="center" wrapText="1"/>
    </xf>
    <xf numFmtId="0" fontId="13" fillId="0" borderId="3" xfId="0" applyFont="1" applyBorder="1" applyAlignment="1">
      <alignment horizontal="center" vertical="center"/>
    </xf>
    <xf numFmtId="0" fontId="13" fillId="0" borderId="8" xfId="0" applyFont="1" applyBorder="1" applyAlignment="1">
      <alignment horizontal="left" vertical="center" wrapText="1"/>
    </xf>
    <xf numFmtId="0" fontId="13" fillId="0" borderId="8" xfId="0" applyFont="1" applyBorder="1" applyAlignment="1">
      <alignment horizontal="center" vertical="center"/>
    </xf>
    <xf numFmtId="17" fontId="10" fillId="0" borderId="8" xfId="0" applyNumberFormat="1" applyFont="1" applyBorder="1" applyAlignment="1">
      <alignment horizontal="center" vertical="center" wrapText="1"/>
    </xf>
    <xf numFmtId="0" fontId="8" fillId="0" borderId="8" xfId="0" applyFont="1" applyBorder="1" applyAlignment="1">
      <alignment horizontal="center" vertical="center"/>
    </xf>
    <xf numFmtId="0" fontId="15" fillId="0" borderId="2"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17" fontId="10" fillId="0" borderId="12" xfId="0" applyNumberFormat="1" applyFont="1" applyBorder="1" applyAlignment="1">
      <alignment horizontal="center" vertical="center" wrapText="1"/>
    </xf>
    <xf numFmtId="0" fontId="8" fillId="0" borderId="11" xfId="0" applyFont="1" applyBorder="1" applyAlignment="1">
      <alignment horizontal="center" vertical="center"/>
    </xf>
    <xf numFmtId="0" fontId="0" fillId="0" borderId="11" xfId="0" applyBorder="1" applyAlignment="1">
      <alignment horizontal="center" vertical="center"/>
    </xf>
    <xf numFmtId="0" fontId="19" fillId="0" borderId="9" xfId="0" applyFont="1" applyBorder="1" applyAlignment="1">
      <alignment horizontal="center" vertical="center" wrapText="1"/>
    </xf>
    <xf numFmtId="0" fontId="19" fillId="0" borderId="8" xfId="0" applyFont="1" applyBorder="1" applyAlignment="1">
      <alignment horizontal="justify" vertical="center" wrapText="1"/>
    </xf>
    <xf numFmtId="0" fontId="19" fillId="0" borderId="8" xfId="0" applyFont="1" applyBorder="1" applyAlignment="1">
      <alignment horizontal="center" vertical="center" wrapText="1"/>
    </xf>
    <xf numFmtId="17" fontId="19" fillId="0" borderId="12" xfId="0" applyNumberFormat="1" applyFont="1" applyBorder="1" applyAlignment="1">
      <alignment horizontal="center" vertical="center" wrapText="1"/>
    </xf>
    <xf numFmtId="0" fontId="19" fillId="0" borderId="8" xfId="0" applyFont="1" applyBorder="1" applyAlignment="1">
      <alignment horizontal="center" vertical="center"/>
    </xf>
    <xf numFmtId="0" fontId="10" fillId="0" borderId="11"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11" xfId="0" applyFont="1" applyBorder="1" applyAlignment="1">
      <alignment horizontal="justify" vertical="center" wrapText="1"/>
    </xf>
    <xf numFmtId="0" fontId="19" fillId="0" borderId="11" xfId="0" applyFont="1" applyBorder="1" applyAlignment="1">
      <alignment horizontal="center" vertical="center" wrapText="1"/>
    </xf>
    <xf numFmtId="0" fontId="19" fillId="0" borderId="8" xfId="0" quotePrefix="1" applyFont="1" applyBorder="1" applyAlignment="1">
      <alignment horizontal="center" vertical="center"/>
    </xf>
    <xf numFmtId="15" fontId="13" fillId="0" borderId="5" xfId="0" applyNumberFormat="1" applyFont="1" applyBorder="1" applyAlignment="1">
      <alignment horizontal="center" vertical="center" wrapText="1"/>
    </xf>
    <xf numFmtId="0" fontId="13" fillId="0" borderId="5" xfId="0" quotePrefix="1" applyFont="1" applyBorder="1" applyAlignment="1">
      <alignment horizontal="center" vertical="center" wrapText="1"/>
    </xf>
    <xf numFmtId="0" fontId="15" fillId="0" borderId="5" xfId="0" quotePrefix="1"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17" fontId="17" fillId="0" borderId="5" xfId="0" applyNumberFormat="1" applyFont="1" applyBorder="1" applyAlignment="1">
      <alignment horizontal="center" vertical="center" wrapText="1"/>
    </xf>
    <xf numFmtId="164" fontId="16" fillId="0" borderId="5" xfId="0" applyNumberFormat="1" applyFont="1" applyBorder="1" applyAlignment="1">
      <alignment horizontal="center" vertical="center" wrapText="1"/>
    </xf>
    <xf numFmtId="0" fontId="13" fillId="0" borderId="3" xfId="0" applyFont="1" applyBorder="1" applyAlignment="1">
      <alignment horizontal="center" vertical="center" wrapText="1"/>
    </xf>
    <xf numFmtId="17" fontId="16" fillId="0" borderId="2" xfId="0" applyNumberFormat="1" applyFont="1" applyBorder="1" applyAlignment="1">
      <alignment horizontal="center" vertical="center" wrapText="1"/>
    </xf>
    <xf numFmtId="164" fontId="16" fillId="0" borderId="3" xfId="0" applyNumberFormat="1" applyFont="1" applyBorder="1" applyAlignment="1">
      <alignment horizontal="center" vertical="center" wrapText="1"/>
    </xf>
    <xf numFmtId="17" fontId="17" fillId="0" borderId="2" xfId="0" applyNumberFormat="1" applyFont="1" applyBorder="1" applyAlignment="1">
      <alignment horizontal="center" vertical="center" wrapText="1"/>
    </xf>
    <xf numFmtId="164" fontId="13" fillId="0" borderId="3" xfId="0" applyNumberFormat="1" applyFont="1" applyBorder="1" applyAlignment="1">
      <alignment horizontal="center" vertical="center" wrapText="1"/>
    </xf>
    <xf numFmtId="17" fontId="13" fillId="0" borderId="2"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17" fontId="8" fillId="0" borderId="2" xfId="0" applyNumberFormat="1" applyFont="1" applyBorder="1" applyAlignment="1">
      <alignment horizontal="center" vertical="center" wrapText="1"/>
    </xf>
    <xf numFmtId="164" fontId="13" fillId="0" borderId="8" xfId="0" applyNumberFormat="1" applyFont="1" applyBorder="1" applyAlignment="1">
      <alignment horizontal="center" vertical="center" wrapText="1"/>
    </xf>
    <xf numFmtId="0" fontId="16" fillId="0" borderId="9" xfId="0" applyFont="1" applyBorder="1" applyAlignment="1">
      <alignment horizontal="center" vertical="center" wrapText="1"/>
    </xf>
    <xf numFmtId="0" fontId="16" fillId="0" borderId="8" xfId="0" applyFont="1" applyBorder="1" applyAlignment="1">
      <alignment horizontal="center" vertical="center" wrapText="1"/>
    </xf>
    <xf numFmtId="17" fontId="17" fillId="0" borderId="8" xfId="0" applyNumberFormat="1" applyFont="1" applyBorder="1" applyAlignment="1">
      <alignment horizontal="center" vertical="center" wrapText="1"/>
    </xf>
    <xf numFmtId="164" fontId="16" fillId="0" borderId="8" xfId="0" applyNumberFormat="1" applyFont="1" applyBorder="1" applyAlignment="1">
      <alignment horizontal="center" vertical="center" wrapText="1"/>
    </xf>
    <xf numFmtId="17" fontId="16" fillId="0" borderId="8" xfId="0" applyNumberFormat="1" applyFont="1" applyBorder="1" applyAlignment="1">
      <alignment horizontal="center" vertical="center" wrapText="1"/>
    </xf>
    <xf numFmtId="17" fontId="17" fillId="0" borderId="9" xfId="0" applyNumberFormat="1" applyFont="1" applyBorder="1" applyAlignment="1">
      <alignment horizontal="center" vertical="center" wrapText="1"/>
    </xf>
    <xf numFmtId="17" fontId="8" fillId="0" borderId="8" xfId="0" applyNumberFormat="1" applyFont="1" applyBorder="1" applyAlignment="1">
      <alignment horizontal="center" vertical="center" wrapText="1"/>
    </xf>
    <xf numFmtId="0" fontId="8" fillId="0" borderId="4" xfId="0" applyFont="1" applyBorder="1" applyAlignment="1">
      <alignment horizontal="center" vertical="center" wrapText="1"/>
    </xf>
    <xf numFmtId="0" fontId="15" fillId="0" borderId="3" xfId="0" applyFont="1" applyBorder="1" applyAlignment="1">
      <alignment horizontal="center" vertical="center" wrapText="1"/>
    </xf>
    <xf numFmtId="164" fontId="15" fillId="0" borderId="5" xfId="0" applyNumberFormat="1" applyFont="1" applyBorder="1" applyAlignment="1">
      <alignment horizontal="center" vertical="center" wrapText="1"/>
    </xf>
    <xf numFmtId="0" fontId="17" fillId="0" borderId="3" xfId="0" applyFont="1" applyBorder="1" applyAlignment="1">
      <alignment horizontal="center" vertical="center" wrapText="1"/>
    </xf>
    <xf numFmtId="164" fontId="8" fillId="0" borderId="3" xfId="0" applyNumberFormat="1" applyFont="1" applyBorder="1" applyAlignment="1">
      <alignment horizontal="center" vertical="center" wrapText="1"/>
    </xf>
    <xf numFmtId="0" fontId="19" fillId="0" borderId="11" xfId="0" applyFont="1" applyBorder="1" applyAlignment="1">
      <alignment horizontal="center" vertical="center"/>
    </xf>
    <xf numFmtId="0" fontId="1" fillId="0" borderId="0" xfId="0" applyFont="1"/>
    <xf numFmtId="17" fontId="8" fillId="0" borderId="3" xfId="0" applyNumberFormat="1" applyFont="1" applyBorder="1" applyAlignment="1">
      <alignment horizontal="center" vertical="center" wrapText="1"/>
    </xf>
    <xf numFmtId="17" fontId="13" fillId="0" borderId="9" xfId="0" applyNumberFormat="1" applyFont="1" applyBorder="1" applyAlignment="1">
      <alignment horizontal="center" vertical="center" wrapText="1"/>
    </xf>
    <xf numFmtId="0" fontId="17" fillId="0" borderId="5" xfId="0" applyFont="1" applyBorder="1" applyAlignment="1">
      <alignment horizontal="center" vertical="center" wrapText="1"/>
    </xf>
    <xf numFmtId="0" fontId="14" fillId="0" borderId="5" xfId="0" applyFont="1" applyBorder="1" applyAlignment="1">
      <alignment horizontal="center" vertical="center" wrapText="1"/>
    </xf>
    <xf numFmtId="15" fontId="17" fillId="0" borderId="5" xfId="0" applyNumberFormat="1" applyFont="1" applyBorder="1" applyAlignment="1">
      <alignment horizontal="center" vertical="center" wrapText="1"/>
    </xf>
    <xf numFmtId="17" fontId="16" fillId="0" borderId="5" xfId="0" applyNumberFormat="1" applyFont="1" applyBorder="1" applyAlignment="1">
      <alignment horizontal="center" vertical="center" wrapText="1"/>
    </xf>
    <xf numFmtId="17" fontId="16" fillId="0" borderId="3" xfId="0" applyNumberFormat="1" applyFont="1" applyBorder="1" applyAlignment="1">
      <alignment horizontal="center" vertical="center" wrapText="1"/>
    </xf>
    <xf numFmtId="17" fontId="10" fillId="0" borderId="5" xfId="0" applyNumberFormat="1" applyFont="1" applyBorder="1" applyAlignment="1">
      <alignment horizontal="center" vertical="center" wrapText="1"/>
    </xf>
    <xf numFmtId="17" fontId="14" fillId="0" borderId="12" xfId="0" applyNumberFormat="1" applyFont="1" applyBorder="1" applyAlignment="1">
      <alignment horizontal="center" vertical="center" wrapText="1"/>
    </xf>
    <xf numFmtId="0" fontId="0" fillId="2" borderId="0" xfId="0" applyFill="1" applyAlignment="1">
      <alignment horizontal="center"/>
    </xf>
    <xf numFmtId="0" fontId="0" fillId="3" borderId="0" xfId="0" applyFill="1" applyAlignment="1">
      <alignment horizontal="center"/>
    </xf>
    <xf numFmtId="0" fontId="3" fillId="3" borderId="0" xfId="0" applyFont="1" applyFill="1" applyAlignment="1">
      <alignment horizontal="center" vertical="center" wrapText="1"/>
    </xf>
    <xf numFmtId="0" fontId="4" fillId="3" borderId="0" xfId="0" applyFont="1" applyFill="1" applyAlignment="1">
      <alignment horizontal="center" vertical="center"/>
    </xf>
    <xf numFmtId="0" fontId="1" fillId="3" borderId="0" xfId="0" applyFont="1" applyFill="1" applyAlignment="1">
      <alignment horizontal="left" wrapText="1"/>
    </xf>
    <xf numFmtId="0" fontId="12" fillId="3" borderId="0" xfId="0" applyFont="1" applyFill="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colors>
    <mruColors>
      <color rgb="FF4F81BD"/>
      <color rgb="FF99CCFF"/>
      <color rgb="FFCCFF99"/>
      <color rgb="FFCC99FF"/>
      <color rgb="FFCC66FF"/>
      <color rgb="FFFFFF9F"/>
      <color rgb="FFFFD961"/>
      <color rgb="FFFFE6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1209675</xdr:colOff>
      <xdr:row>24</xdr:row>
      <xdr:rowOff>9525</xdr:rowOff>
    </xdr:from>
    <xdr:to>
      <xdr:col>1</xdr:col>
      <xdr:colOff>4683760</xdr:colOff>
      <xdr:row>27</xdr:row>
      <xdr:rowOff>171450</xdr:rowOff>
    </xdr:to>
    <xdr:pic>
      <xdr:nvPicPr>
        <xdr:cNvPr id="2" name="Imagen 1">
          <a:extLst>
            <a:ext uri="{FF2B5EF4-FFF2-40B4-BE49-F238E27FC236}">
              <a16:creationId xmlns:a16="http://schemas.microsoft.com/office/drawing/2014/main" id="{73C611F5-C237-4B2A-9B7F-79257CCE9BB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0675" y="4581525"/>
          <a:ext cx="3474085" cy="723900"/>
        </a:xfrm>
        <a:prstGeom prst="rect">
          <a:avLst/>
        </a:prstGeom>
        <a:noFill/>
        <a:ln>
          <a:noFill/>
        </a:ln>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119BF4CF-B79E-48A0-BE2B-EF424A79E73C}"/>
</namedSheetView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tint="-0.499984740745262"/>
  </sheetPr>
  <dimension ref="A1:I34"/>
  <sheetViews>
    <sheetView zoomScale="70" zoomScaleNormal="70" workbookViewId="0">
      <selection activeCell="B17" sqref="B17:B18"/>
    </sheetView>
  </sheetViews>
  <sheetFormatPr baseColWidth="10" defaultColWidth="0" defaultRowHeight="15" customHeight="1" zeroHeight="1" x14ac:dyDescent="0.25"/>
  <cols>
    <col min="1" max="1" width="5.7109375" customWidth="1"/>
    <col min="2" max="2" width="87.7109375" customWidth="1"/>
    <col min="3" max="3" width="5.7109375" customWidth="1"/>
    <col min="4" max="8" width="11.42578125" hidden="1" customWidth="1"/>
    <col min="9" max="9" width="2.28515625" hidden="1" customWidth="1"/>
    <col min="10" max="16384" width="12.28515625" hidden="1"/>
  </cols>
  <sheetData>
    <row r="1" spans="1:3" x14ac:dyDescent="0.25">
      <c r="A1" s="125"/>
      <c r="B1" s="125"/>
      <c r="C1" s="125"/>
    </row>
    <row r="2" spans="1:3" x14ac:dyDescent="0.25">
      <c r="A2" s="125"/>
      <c r="B2" s="125"/>
      <c r="C2" s="125"/>
    </row>
    <row r="3" spans="1:3" x14ac:dyDescent="0.25">
      <c r="A3" s="125"/>
      <c r="B3" s="125"/>
      <c r="C3" s="125"/>
    </row>
    <row r="4" spans="1:3" x14ac:dyDescent="0.25">
      <c r="A4" s="125"/>
      <c r="B4" s="125"/>
      <c r="C4" s="125"/>
    </row>
    <row r="5" spans="1:3" x14ac:dyDescent="0.25">
      <c r="A5" s="125"/>
      <c r="B5" s="125"/>
      <c r="C5" s="125"/>
    </row>
    <row r="6" spans="1:3" x14ac:dyDescent="0.25">
      <c r="A6" s="126"/>
      <c r="B6" s="126"/>
      <c r="C6" s="126"/>
    </row>
    <row r="7" spans="1:3" x14ac:dyDescent="0.25">
      <c r="A7" s="126"/>
      <c r="B7" s="126"/>
      <c r="C7" s="126"/>
    </row>
    <row r="8" spans="1:3" ht="15" customHeight="1" x14ac:dyDescent="0.25">
      <c r="A8" s="126"/>
      <c r="B8" s="127" t="s">
        <v>0</v>
      </c>
      <c r="C8" s="126"/>
    </row>
    <row r="9" spans="1:3" ht="15" customHeight="1" x14ac:dyDescent="0.25">
      <c r="A9" s="126"/>
      <c r="B9" s="127"/>
      <c r="C9" s="126"/>
    </row>
    <row r="10" spans="1:3" ht="15" customHeight="1" x14ac:dyDescent="0.25">
      <c r="A10" s="126"/>
      <c r="B10" s="127"/>
      <c r="C10" s="126"/>
    </row>
    <row r="11" spans="1:3" ht="15" customHeight="1" x14ac:dyDescent="0.25">
      <c r="A11" s="126"/>
      <c r="B11" s="127"/>
      <c r="C11" s="126"/>
    </row>
    <row r="12" spans="1:3" ht="15" customHeight="1" x14ac:dyDescent="0.25">
      <c r="A12" s="126"/>
      <c r="B12" s="127"/>
      <c r="C12" s="126"/>
    </row>
    <row r="13" spans="1:3" ht="15" customHeight="1" x14ac:dyDescent="0.25">
      <c r="A13" s="126"/>
      <c r="B13" s="127"/>
      <c r="C13" s="126"/>
    </row>
    <row r="14" spans="1:3" ht="15" customHeight="1" x14ac:dyDescent="0.25">
      <c r="A14" s="126"/>
      <c r="B14" s="127"/>
      <c r="C14" s="126"/>
    </row>
    <row r="15" spans="1:3" ht="15" customHeight="1" x14ac:dyDescent="0.25">
      <c r="A15" s="126"/>
      <c r="B15" s="127"/>
      <c r="C15" s="126"/>
    </row>
    <row r="16" spans="1:3" ht="15" customHeight="1" x14ac:dyDescent="0.25">
      <c r="A16" s="126"/>
      <c r="B16" s="127"/>
      <c r="C16" s="126"/>
    </row>
    <row r="17" spans="1:3" ht="15" customHeight="1" x14ac:dyDescent="0.25">
      <c r="A17" s="126"/>
      <c r="B17" s="128" t="s">
        <v>1462</v>
      </c>
      <c r="C17" s="126"/>
    </row>
    <row r="18" spans="1:3" ht="15" customHeight="1" x14ac:dyDescent="0.25">
      <c r="A18" s="126"/>
      <c r="B18" s="128"/>
      <c r="C18" s="126"/>
    </row>
    <row r="19" spans="1:3" x14ac:dyDescent="0.25">
      <c r="A19" s="126"/>
      <c r="B19" s="126"/>
      <c r="C19" s="126"/>
    </row>
    <row r="20" spans="1:3" x14ac:dyDescent="0.25">
      <c r="A20" s="126"/>
      <c r="B20" s="126"/>
      <c r="C20" s="126"/>
    </row>
    <row r="21" spans="1:3" x14ac:dyDescent="0.25">
      <c r="A21" s="125"/>
      <c r="B21" s="125"/>
      <c r="C21" s="125"/>
    </row>
    <row r="22" spans="1:3" x14ac:dyDescent="0.25">
      <c r="A22" s="125"/>
      <c r="B22" s="125"/>
      <c r="C22" s="125"/>
    </row>
    <row r="23" spans="1:3" x14ac:dyDescent="0.25">
      <c r="A23" s="125"/>
      <c r="B23" s="125"/>
      <c r="C23" s="125"/>
    </row>
    <row r="24" spans="1:3" x14ac:dyDescent="0.25">
      <c r="A24" s="125"/>
      <c r="B24" s="125"/>
      <c r="C24" s="125"/>
    </row>
    <row r="25" spans="1:3" x14ac:dyDescent="0.25">
      <c r="A25" s="125"/>
      <c r="B25" s="125"/>
      <c r="C25" s="125"/>
    </row>
    <row r="26" spans="1:3" x14ac:dyDescent="0.25">
      <c r="A26" s="125"/>
      <c r="B26" s="125"/>
      <c r="C26" s="125"/>
    </row>
    <row r="27" spans="1:3" x14ac:dyDescent="0.25">
      <c r="A27" s="125"/>
      <c r="B27" s="125"/>
      <c r="C27" s="125"/>
    </row>
    <row r="28" spans="1:3" x14ac:dyDescent="0.25">
      <c r="A28" s="125"/>
      <c r="B28" s="125"/>
      <c r="C28" s="125"/>
    </row>
    <row r="29" spans="1:3" x14ac:dyDescent="0.25">
      <c r="A29" s="125"/>
      <c r="B29" s="125"/>
      <c r="C29" s="125"/>
    </row>
    <row r="30" spans="1:3" x14ac:dyDescent="0.25">
      <c r="A30" s="125"/>
      <c r="B30" s="125"/>
      <c r="C30" s="125"/>
    </row>
    <row r="31" spans="1:3" x14ac:dyDescent="0.25">
      <c r="A31" s="125"/>
      <c r="B31" s="1" t="s">
        <v>1</v>
      </c>
      <c r="C31" s="125"/>
    </row>
    <row r="32" spans="1:3" x14ac:dyDescent="0.25">
      <c r="A32" s="125"/>
      <c r="B32" s="1" t="s">
        <v>2</v>
      </c>
      <c r="C32" s="125"/>
    </row>
    <row r="33" spans="1:3" x14ac:dyDescent="0.25">
      <c r="A33" s="125"/>
      <c r="B33" s="125"/>
      <c r="C33" s="125"/>
    </row>
    <row r="34" spans="1:3" x14ac:dyDescent="0.25">
      <c r="A34" s="125"/>
      <c r="B34" s="125"/>
      <c r="C34" s="125"/>
    </row>
  </sheetData>
  <mergeCells count="15">
    <mergeCell ref="A1:C5"/>
    <mergeCell ref="A6:C7"/>
    <mergeCell ref="B8:B16"/>
    <mergeCell ref="B17:B18"/>
    <mergeCell ref="A31:A32"/>
    <mergeCell ref="C31:C32"/>
    <mergeCell ref="A33:C34"/>
    <mergeCell ref="C8:C18"/>
    <mergeCell ref="A8:A18"/>
    <mergeCell ref="A19:C20"/>
    <mergeCell ref="A21:C24"/>
    <mergeCell ref="A25:A28"/>
    <mergeCell ref="B25:B28"/>
    <mergeCell ref="C25:C28"/>
    <mergeCell ref="A29:C3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0" tint="-0.499984740745262"/>
  </sheetPr>
  <dimension ref="A2:XFC16"/>
  <sheetViews>
    <sheetView showGridLines="0" topLeftCell="A2" workbookViewId="0">
      <selection activeCell="D5" sqref="D5"/>
    </sheetView>
  </sheetViews>
  <sheetFormatPr baseColWidth="10" defaultColWidth="0" defaultRowHeight="15" customHeight="1" zeroHeight="1" x14ac:dyDescent="0.25"/>
  <cols>
    <col min="1" max="1" width="0.85546875" customWidth="1"/>
    <col min="2" max="2" width="3.42578125" customWidth="1"/>
    <col min="3" max="3" width="1.28515625" customWidth="1"/>
    <col min="4" max="4" width="161.5703125" bestFit="1" customWidth="1"/>
    <col min="5" max="5" width="0.85546875" customWidth="1"/>
    <col min="6" max="6" width="4.140625" hidden="1" customWidth="1"/>
    <col min="7" max="7" width="3.42578125" hidden="1" customWidth="1"/>
    <col min="8" max="16383" width="3.42578125" hidden="1"/>
    <col min="16384" max="16384" width="2.7109375" hidden="1" customWidth="1"/>
  </cols>
  <sheetData>
    <row r="2" spans="4:4" ht="46.5" x14ac:dyDescent="0.25">
      <c r="D2" s="4" t="s">
        <v>3</v>
      </c>
    </row>
    <row r="3" spans="4:4" x14ac:dyDescent="0.25">
      <c r="D3" s="2"/>
    </row>
    <row r="4" spans="4:4" x14ac:dyDescent="0.25">
      <c r="D4" s="2"/>
    </row>
    <row r="5" spans="4:4" x14ac:dyDescent="0.25">
      <c r="D5" s="5" t="s">
        <v>4</v>
      </c>
    </row>
    <row r="6" spans="4:4" x14ac:dyDescent="0.25">
      <c r="D6" s="5" t="s">
        <v>5</v>
      </c>
    </row>
    <row r="7" spans="4:4" x14ac:dyDescent="0.25">
      <c r="D7" s="5" t="s">
        <v>6</v>
      </c>
    </row>
    <row r="8" spans="4:4" x14ac:dyDescent="0.25">
      <c r="D8" s="5" t="s">
        <v>7</v>
      </c>
    </row>
    <row r="9" spans="4:4" x14ac:dyDescent="0.25">
      <c r="D9" s="5" t="s">
        <v>8</v>
      </c>
    </row>
    <row r="10" spans="4:4" x14ac:dyDescent="0.25">
      <c r="D10" s="5" t="s">
        <v>9</v>
      </c>
    </row>
    <row r="11" spans="4:4" x14ac:dyDescent="0.25">
      <c r="D11" s="5" t="s">
        <v>10</v>
      </c>
    </row>
    <row r="12" spans="4:4" x14ac:dyDescent="0.25">
      <c r="D12" s="5" t="s">
        <v>11</v>
      </c>
    </row>
    <row r="13" spans="4:4" x14ac:dyDescent="0.25">
      <c r="D13" s="5" t="s">
        <v>12</v>
      </c>
    </row>
    <row r="14" spans="4:4" x14ac:dyDescent="0.25">
      <c r="D14" s="5" t="s">
        <v>13</v>
      </c>
    </row>
    <row r="15" spans="4:4" x14ac:dyDescent="0.25">
      <c r="D15" s="5" t="s">
        <v>14</v>
      </c>
    </row>
    <row r="16" spans="4:4" x14ac:dyDescent="0.25">
      <c r="D16" s="5" t="s">
        <v>15</v>
      </c>
    </row>
  </sheetData>
  <hyperlinks>
    <hyperlink ref="D5" location="PMGD!A1" display="I. Proyectos de Pequeños Medios de Generación Distribuidos en Construcción" xr:uid="{00000000-0004-0000-0100-000000000000}"/>
    <hyperlink ref="D6" location="P.Generación!A1" display="II. Proyectos de Generación en Construcción" xr:uid="{00000000-0004-0000-0100-000001000000}"/>
    <hyperlink ref="D7" location="'P.Generación SSMM'!A1" display="III. Proyectos de Generación en Construcción en Sistemas Medianos" xr:uid="{00000000-0004-0000-0100-000002000000}"/>
    <hyperlink ref="D8" location="ON_STxN!A1" display="IV. Proyectos de Obras Nuevas del Sistema de Transmisión Nacional" xr:uid="{00000000-0004-0000-0100-000003000000}"/>
    <hyperlink ref="D9" location="OA_STxN!A1" display="V. Proyectos de Obras de Ampliación del Sistema de Transmisión Nacional" xr:uid="{00000000-0004-0000-0100-000004000000}"/>
    <hyperlink ref="D10" location="ON_STxZ!A1" display="VI. Proyectos de Obras Nuevas del Sistema de Transmisión Zonal" xr:uid="{00000000-0004-0000-0100-000005000000}"/>
    <hyperlink ref="D11" location="OA_STxZ!A1" display="VII. Proyectos de Obras de Ampliación del Sistema de Transmisión Zonal" xr:uid="{00000000-0004-0000-0100-000006000000}"/>
    <hyperlink ref="D15" location="OPyM_ST!A1" display="VIII. Otros Proyectos y Modificaciones en los Sistemas de Transmisión Nacional, Zonal y Dedicados" xr:uid="{00000000-0004-0000-0100-000007000000}"/>
    <hyperlink ref="D12" location="OEO_D418!A1" display="IX. Proyectos de los Sistemas de Transmisión Zonal de ejecución obligatoria, en construcción al 31 de octubre de 2016, de conformidad al artículo 1° de Decreto Exento N° 418/2017" xr:uid="{00000000-0004-0000-0100-000008000000}"/>
    <hyperlink ref="D13" location="OA_D418!A1" display="X. Proyectos de obras de ampliación de los Sistemas de Transmisión Zonal de conformidad al artículo 2° de Decreto Exento N° 418/2017, que cuentan con decreto de adjudicación" xr:uid="{00000000-0004-0000-0100-000009000000}"/>
    <hyperlink ref="D14" location="ON_D418!A1" display="XI. Proyectos de obras nuevas de los Sistemas de Transmisión Zonal de acuerdo al artículo 3° de Decreto Exento N° 418/2017, que cuentan con decreto de adjudicación" xr:uid="{00000000-0004-0000-0100-00000A000000}"/>
    <hyperlink ref="D16" location="Art.102!A1" display="XII. Proyectos autorizados de acuerdo al artículo 102° de la Ley" xr:uid="{00000000-0004-0000-0100-00000B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tabColor theme="9" tint="-0.249977111117893"/>
    <pageSetUpPr fitToPage="1"/>
  </sheetPr>
  <dimension ref="A1:N170"/>
  <sheetViews>
    <sheetView showGridLines="0" view="pageBreakPreview" zoomScale="80" zoomScaleNormal="80" zoomScaleSheetLayoutView="80" workbookViewId="0">
      <selection activeCell="B1" sqref="B1:B1048576"/>
    </sheetView>
  </sheetViews>
  <sheetFormatPr baseColWidth="10" defaultColWidth="0" defaultRowHeight="15" zeroHeight="1" x14ac:dyDescent="0.25"/>
  <cols>
    <col min="1" max="1" width="11.5703125" style="3" customWidth="1"/>
    <col min="2" max="2" width="13.5703125" style="3" customWidth="1"/>
    <col min="3" max="3" width="11.85546875" style="3" customWidth="1"/>
    <col min="4" max="7" width="11.42578125" style="3" customWidth="1"/>
    <col min="8" max="8" width="10.5703125" style="3" customWidth="1"/>
    <col min="9" max="9" width="11.42578125" style="3" customWidth="1"/>
    <col min="10" max="10" width="12.5703125" style="3" customWidth="1"/>
    <col min="11" max="11" width="13.42578125" style="3" customWidth="1"/>
    <col min="12" max="12" width="78.42578125" style="3" customWidth="1"/>
    <col min="13" max="13" width="13.140625" style="3" customWidth="1"/>
    <col min="14" max="14" width="17.140625" style="3" customWidth="1"/>
    <col min="15" max="16384" width="21.140625" style="3" hidden="1"/>
  </cols>
  <sheetData>
    <row r="1" spans="1:12" x14ac:dyDescent="0.25">
      <c r="A1" s="8" t="s">
        <v>4</v>
      </c>
      <c r="C1" s="8"/>
      <c r="D1" s="8"/>
      <c r="E1" s="8"/>
      <c r="F1" s="8"/>
      <c r="G1" s="8"/>
    </row>
    <row r="2" spans="1:12" ht="15.75" thickBot="1" x14ac:dyDescent="0.3"/>
    <row r="3" spans="1:12" ht="65.25" customHeight="1" thickBot="1" x14ac:dyDescent="0.3">
      <c r="B3" s="6" t="s">
        <v>16</v>
      </c>
      <c r="C3" s="7" t="s">
        <v>17</v>
      </c>
      <c r="D3" s="7" t="s">
        <v>18</v>
      </c>
      <c r="E3" s="7" t="s">
        <v>19</v>
      </c>
      <c r="F3" s="7" t="s">
        <v>20</v>
      </c>
      <c r="G3" s="7" t="s">
        <v>21</v>
      </c>
      <c r="H3" s="7" t="s">
        <v>22</v>
      </c>
      <c r="I3" s="7" t="s">
        <v>23</v>
      </c>
      <c r="J3" s="7" t="s">
        <v>24</v>
      </c>
      <c r="K3" s="7" t="s">
        <v>25</v>
      </c>
      <c r="L3" s="7" t="s">
        <v>26</v>
      </c>
    </row>
    <row r="4" spans="1:12" ht="48.75" thickBot="1" x14ac:dyDescent="0.3">
      <c r="A4" s="38"/>
      <c r="B4" s="41" t="s">
        <v>27</v>
      </c>
      <c r="C4" s="42" t="s">
        <v>28</v>
      </c>
      <c r="D4" s="42" t="s">
        <v>29</v>
      </c>
      <c r="E4" s="43">
        <v>44348</v>
      </c>
      <c r="F4" s="43">
        <v>44348</v>
      </c>
      <c r="G4" s="42" t="s">
        <v>30</v>
      </c>
      <c r="H4" s="44">
        <v>2.9</v>
      </c>
      <c r="I4" s="44">
        <v>3</v>
      </c>
      <c r="J4" s="42"/>
      <c r="K4" s="42" t="s">
        <v>32</v>
      </c>
      <c r="L4" s="42" t="s">
        <v>33</v>
      </c>
    </row>
    <row r="5" spans="1:12" ht="72.75" hidden="1" thickBot="1" x14ac:dyDescent="0.3">
      <c r="A5" s="38"/>
      <c r="B5" s="41" t="s">
        <v>34</v>
      </c>
      <c r="C5" s="42" t="s">
        <v>35</v>
      </c>
      <c r="D5" s="42" t="s">
        <v>36</v>
      </c>
      <c r="E5" s="43">
        <v>44378</v>
      </c>
      <c r="F5" s="43">
        <v>44378</v>
      </c>
      <c r="G5" s="42" t="s">
        <v>30</v>
      </c>
      <c r="H5" s="44">
        <v>2.9</v>
      </c>
      <c r="I5" s="44">
        <v>3</v>
      </c>
      <c r="J5" s="42" t="s">
        <v>31</v>
      </c>
      <c r="K5" s="42" t="s">
        <v>37</v>
      </c>
      <c r="L5" s="42" t="s">
        <v>38</v>
      </c>
    </row>
    <row r="6" spans="1:12" ht="72.75" hidden="1" thickBot="1" x14ac:dyDescent="0.3">
      <c r="A6" s="38"/>
      <c r="B6" s="41" t="s">
        <v>39</v>
      </c>
      <c r="C6" s="42" t="s">
        <v>40</v>
      </c>
      <c r="D6" s="42" t="s">
        <v>41</v>
      </c>
      <c r="E6" s="43">
        <v>44317</v>
      </c>
      <c r="F6" s="43">
        <v>44501</v>
      </c>
      <c r="G6" s="42" t="s">
        <v>42</v>
      </c>
      <c r="H6" s="44">
        <v>0.9</v>
      </c>
      <c r="I6" s="44">
        <v>1</v>
      </c>
      <c r="J6" s="42" t="s">
        <v>43</v>
      </c>
      <c r="K6" s="42" t="s">
        <v>44</v>
      </c>
      <c r="L6" s="42" t="s">
        <v>38</v>
      </c>
    </row>
    <row r="7" spans="1:12" ht="72.75" hidden="1" thickBot="1" x14ac:dyDescent="0.3">
      <c r="A7" s="38"/>
      <c r="B7" s="41" t="s">
        <v>45</v>
      </c>
      <c r="C7" s="42" t="s">
        <v>46</v>
      </c>
      <c r="D7" s="42" t="s">
        <v>47</v>
      </c>
      <c r="E7" s="43">
        <v>44501</v>
      </c>
      <c r="F7" s="43">
        <v>44501</v>
      </c>
      <c r="G7" s="42" t="s">
        <v>42</v>
      </c>
      <c r="H7" s="44">
        <v>3</v>
      </c>
      <c r="I7" s="44">
        <v>2.95</v>
      </c>
      <c r="J7" s="42" t="s">
        <v>48</v>
      </c>
      <c r="K7" s="42" t="s">
        <v>49</v>
      </c>
      <c r="L7" s="42" t="s">
        <v>38</v>
      </c>
    </row>
    <row r="8" spans="1:12" ht="60.75" thickBot="1" x14ac:dyDescent="0.3">
      <c r="A8" s="38"/>
      <c r="B8" s="41" t="s">
        <v>50</v>
      </c>
      <c r="C8" s="42" t="s">
        <v>51</v>
      </c>
      <c r="D8" s="42" t="s">
        <v>41</v>
      </c>
      <c r="E8" s="43">
        <v>44531</v>
      </c>
      <c r="F8" s="43">
        <v>44531</v>
      </c>
      <c r="G8" s="42" t="s">
        <v>42</v>
      </c>
      <c r="H8" s="44">
        <v>2.8</v>
      </c>
      <c r="I8" s="44">
        <v>3</v>
      </c>
      <c r="J8" s="42" t="s">
        <v>52</v>
      </c>
      <c r="K8" s="42" t="s">
        <v>53</v>
      </c>
      <c r="L8" s="42" t="s">
        <v>54</v>
      </c>
    </row>
    <row r="9" spans="1:12" ht="48.75" thickBot="1" x14ac:dyDescent="0.3">
      <c r="A9" s="38"/>
      <c r="B9" s="41" t="s">
        <v>55</v>
      </c>
      <c r="C9" s="42" t="s">
        <v>56</v>
      </c>
      <c r="D9" s="42" t="s">
        <v>57</v>
      </c>
      <c r="E9" s="43">
        <v>44682</v>
      </c>
      <c r="F9" s="43">
        <v>44682</v>
      </c>
      <c r="G9" s="42" t="s">
        <v>42</v>
      </c>
      <c r="H9" s="44">
        <v>2.8</v>
      </c>
      <c r="I9" s="44">
        <v>3</v>
      </c>
      <c r="J9" s="42" t="s">
        <v>52</v>
      </c>
      <c r="K9" s="42" t="s">
        <v>58</v>
      </c>
      <c r="L9" s="42" t="s">
        <v>54</v>
      </c>
    </row>
    <row r="10" spans="1:12" ht="48.75" thickBot="1" x14ac:dyDescent="0.3">
      <c r="A10" s="38"/>
      <c r="B10" s="41" t="s">
        <v>59</v>
      </c>
      <c r="C10" s="42" t="s">
        <v>60</v>
      </c>
      <c r="D10" s="42" t="s">
        <v>57</v>
      </c>
      <c r="E10" s="43">
        <v>44682</v>
      </c>
      <c r="F10" s="43">
        <v>44682</v>
      </c>
      <c r="G10" s="42" t="s">
        <v>42</v>
      </c>
      <c r="H10" s="44">
        <v>2.8</v>
      </c>
      <c r="I10" s="44">
        <v>3</v>
      </c>
      <c r="J10" s="42" t="s">
        <v>52</v>
      </c>
      <c r="K10" s="42" t="s">
        <v>61</v>
      </c>
      <c r="L10" s="42" t="s">
        <v>54</v>
      </c>
    </row>
    <row r="11" spans="1:12" ht="48.75" thickBot="1" x14ac:dyDescent="0.3">
      <c r="A11" s="38"/>
      <c r="B11" s="41" t="s">
        <v>62</v>
      </c>
      <c r="C11" s="42" t="s">
        <v>63</v>
      </c>
      <c r="D11" s="42" t="s">
        <v>57</v>
      </c>
      <c r="E11" s="43">
        <v>44682</v>
      </c>
      <c r="F11" s="43">
        <v>44682</v>
      </c>
      <c r="G11" s="42" t="s">
        <v>42</v>
      </c>
      <c r="H11" s="44">
        <v>2.8</v>
      </c>
      <c r="I11" s="44">
        <v>3</v>
      </c>
      <c r="J11" s="42" t="s">
        <v>52</v>
      </c>
      <c r="K11" s="42" t="s">
        <v>64</v>
      </c>
      <c r="L11" s="42" t="s">
        <v>54</v>
      </c>
    </row>
    <row r="12" spans="1:12" ht="72.75" hidden="1" thickBot="1" x14ac:dyDescent="0.3">
      <c r="A12" s="38"/>
      <c r="B12" s="41" t="s">
        <v>65</v>
      </c>
      <c r="C12" s="42" t="s">
        <v>66</v>
      </c>
      <c r="D12" s="42" t="s">
        <v>67</v>
      </c>
      <c r="E12" s="43">
        <v>44866</v>
      </c>
      <c r="F12" s="43">
        <v>44866</v>
      </c>
      <c r="G12" s="42" t="s">
        <v>42</v>
      </c>
      <c r="H12" s="44">
        <v>2.7</v>
      </c>
      <c r="I12" s="44">
        <v>3</v>
      </c>
      <c r="J12" s="42" t="s">
        <v>68</v>
      </c>
      <c r="K12" s="42" t="s">
        <v>69</v>
      </c>
      <c r="L12" s="42" t="s">
        <v>38</v>
      </c>
    </row>
    <row r="13" spans="1:12" ht="48.75" thickBot="1" x14ac:dyDescent="0.3">
      <c r="A13" s="38"/>
      <c r="B13" s="41" t="s">
        <v>75</v>
      </c>
      <c r="C13" s="42" t="s">
        <v>76</v>
      </c>
      <c r="D13" s="42" t="s">
        <v>77</v>
      </c>
      <c r="E13" s="43">
        <v>44743</v>
      </c>
      <c r="F13" s="43">
        <v>44896</v>
      </c>
      <c r="G13" s="42" t="s">
        <v>42</v>
      </c>
      <c r="H13" s="44">
        <v>2.8</v>
      </c>
      <c r="I13" s="44">
        <v>3</v>
      </c>
      <c r="J13" s="42" t="s">
        <v>52</v>
      </c>
      <c r="K13" s="42" t="s">
        <v>78</v>
      </c>
      <c r="L13" s="42" t="s">
        <v>54</v>
      </c>
    </row>
    <row r="14" spans="1:12" ht="72.75" hidden="1" thickBot="1" x14ac:dyDescent="0.3">
      <c r="A14" s="38"/>
      <c r="B14" s="41" t="s">
        <v>79</v>
      </c>
      <c r="C14" s="42" t="s">
        <v>80</v>
      </c>
      <c r="D14" s="42" t="s">
        <v>81</v>
      </c>
      <c r="E14" s="43">
        <v>44927</v>
      </c>
      <c r="F14" s="43">
        <v>44927</v>
      </c>
      <c r="G14" s="42" t="s">
        <v>42</v>
      </c>
      <c r="H14" s="44">
        <v>9</v>
      </c>
      <c r="I14" s="44">
        <v>10.1</v>
      </c>
      <c r="J14" s="42" t="s">
        <v>73</v>
      </c>
      <c r="K14" s="42" t="s">
        <v>82</v>
      </c>
      <c r="L14" s="42" t="s">
        <v>38</v>
      </c>
    </row>
    <row r="15" spans="1:12" ht="48.75" thickBot="1" x14ac:dyDescent="0.3">
      <c r="A15" s="38"/>
      <c r="B15" s="41" t="s">
        <v>83</v>
      </c>
      <c r="C15" s="42" t="s">
        <v>84</v>
      </c>
      <c r="D15" s="42" t="s">
        <v>85</v>
      </c>
      <c r="E15" s="43">
        <v>44927</v>
      </c>
      <c r="F15" s="43">
        <v>44927</v>
      </c>
      <c r="G15" s="42" t="s">
        <v>42</v>
      </c>
      <c r="H15" s="44">
        <v>9</v>
      </c>
      <c r="I15" s="44">
        <v>10.6</v>
      </c>
      <c r="J15" s="42" t="s">
        <v>43</v>
      </c>
      <c r="K15" s="42" t="s">
        <v>86</v>
      </c>
      <c r="L15" s="42" t="s">
        <v>33</v>
      </c>
    </row>
    <row r="16" spans="1:12" ht="72.75" hidden="1" thickBot="1" x14ac:dyDescent="0.3">
      <c r="B16" s="41" t="s">
        <v>87</v>
      </c>
      <c r="C16" s="42" t="s">
        <v>40</v>
      </c>
      <c r="D16" s="42" t="s">
        <v>88</v>
      </c>
      <c r="E16" s="43">
        <v>44197</v>
      </c>
      <c r="F16" s="43">
        <v>44958</v>
      </c>
      <c r="G16" s="42" t="s">
        <v>42</v>
      </c>
      <c r="H16" s="44">
        <v>0.9</v>
      </c>
      <c r="I16" s="44">
        <v>1.1000000000000001</v>
      </c>
      <c r="J16" s="42" t="s">
        <v>43</v>
      </c>
      <c r="K16" s="42" t="s">
        <v>89</v>
      </c>
      <c r="L16" s="42" t="s">
        <v>38</v>
      </c>
    </row>
    <row r="17" spans="2:12" ht="72.75" hidden="1" thickBot="1" x14ac:dyDescent="0.3">
      <c r="B17" s="41" t="s">
        <v>90</v>
      </c>
      <c r="C17" s="42" t="s">
        <v>91</v>
      </c>
      <c r="D17" s="42" t="s">
        <v>92</v>
      </c>
      <c r="E17" s="43">
        <v>44896</v>
      </c>
      <c r="F17" s="43">
        <v>44958</v>
      </c>
      <c r="G17" s="42" t="s">
        <v>93</v>
      </c>
      <c r="H17" s="44">
        <v>3</v>
      </c>
      <c r="I17" s="44">
        <v>3</v>
      </c>
      <c r="J17" s="42" t="s">
        <v>43</v>
      </c>
      <c r="K17" s="42" t="s">
        <v>94</v>
      </c>
      <c r="L17" s="42" t="s">
        <v>38</v>
      </c>
    </row>
    <row r="18" spans="2:12" ht="48.75" thickBot="1" x14ac:dyDescent="0.3">
      <c r="B18" s="41" t="s">
        <v>95</v>
      </c>
      <c r="C18" s="42" t="s">
        <v>96</v>
      </c>
      <c r="D18" s="42" t="s">
        <v>97</v>
      </c>
      <c r="E18" s="43">
        <v>44958</v>
      </c>
      <c r="F18" s="43">
        <v>44958</v>
      </c>
      <c r="G18" s="42" t="s">
        <v>42</v>
      </c>
      <c r="H18" s="44">
        <v>2.7</v>
      </c>
      <c r="I18" s="44">
        <v>3</v>
      </c>
      <c r="J18" s="42" t="s">
        <v>73</v>
      </c>
      <c r="K18" s="42" t="s">
        <v>98</v>
      </c>
      <c r="L18" s="42" t="s">
        <v>54</v>
      </c>
    </row>
    <row r="19" spans="2:12" ht="48.75" thickBot="1" x14ac:dyDescent="0.3">
      <c r="B19" s="41" t="s">
        <v>99</v>
      </c>
      <c r="C19" s="42" t="s">
        <v>100</v>
      </c>
      <c r="D19" s="42" t="s">
        <v>101</v>
      </c>
      <c r="E19" s="43">
        <v>44835</v>
      </c>
      <c r="F19" s="43">
        <v>44958</v>
      </c>
      <c r="G19" s="42" t="s">
        <v>42</v>
      </c>
      <c r="H19" s="44">
        <v>9</v>
      </c>
      <c r="I19" s="44">
        <v>10.3</v>
      </c>
      <c r="J19" s="42" t="s">
        <v>43</v>
      </c>
      <c r="K19" s="42" t="s">
        <v>102</v>
      </c>
      <c r="L19" s="42" t="s">
        <v>33</v>
      </c>
    </row>
    <row r="20" spans="2:12" ht="72.75" hidden="1" thickBot="1" x14ac:dyDescent="0.3">
      <c r="B20" s="41" t="s">
        <v>103</v>
      </c>
      <c r="C20" s="42" t="s">
        <v>104</v>
      </c>
      <c r="D20" s="85" t="s">
        <v>105</v>
      </c>
      <c r="E20" s="43">
        <v>44986</v>
      </c>
      <c r="F20" s="43">
        <v>44986</v>
      </c>
      <c r="G20" s="42" t="s">
        <v>106</v>
      </c>
      <c r="H20" s="44">
        <v>1.6</v>
      </c>
      <c r="I20" s="44">
        <v>1.9</v>
      </c>
      <c r="J20" s="42" t="s">
        <v>68</v>
      </c>
      <c r="K20" s="42" t="s">
        <v>107</v>
      </c>
      <c r="L20" s="42" t="s">
        <v>38</v>
      </c>
    </row>
    <row r="21" spans="2:12" ht="96.75" hidden="1" thickBot="1" x14ac:dyDescent="0.3">
      <c r="B21" s="41" t="s">
        <v>113</v>
      </c>
      <c r="C21" s="42" t="s">
        <v>114</v>
      </c>
      <c r="D21" s="42" t="s">
        <v>115</v>
      </c>
      <c r="E21" s="43">
        <v>45017</v>
      </c>
      <c r="F21" s="43">
        <v>45017</v>
      </c>
      <c r="G21" s="42" t="s">
        <v>42</v>
      </c>
      <c r="H21" s="44">
        <v>2.8</v>
      </c>
      <c r="I21" s="44">
        <v>3</v>
      </c>
      <c r="J21" s="42" t="s">
        <v>111</v>
      </c>
      <c r="K21" s="42" t="s">
        <v>116</v>
      </c>
      <c r="L21" s="86" t="s">
        <v>117</v>
      </c>
    </row>
    <row r="22" spans="2:12" ht="72.75" hidden="1" thickBot="1" x14ac:dyDescent="0.3">
      <c r="B22" s="41" t="s">
        <v>118</v>
      </c>
      <c r="C22" s="42" t="s">
        <v>119</v>
      </c>
      <c r="D22" s="42" t="s">
        <v>120</v>
      </c>
      <c r="E22" s="43">
        <v>45017</v>
      </c>
      <c r="F22" s="43">
        <v>45017</v>
      </c>
      <c r="G22" s="42" t="s">
        <v>42</v>
      </c>
      <c r="H22" s="44">
        <v>7.7</v>
      </c>
      <c r="I22" s="44">
        <v>9.1</v>
      </c>
      <c r="J22" s="42" t="s">
        <v>73</v>
      </c>
      <c r="K22" s="42" t="s">
        <v>121</v>
      </c>
      <c r="L22" s="42" t="s">
        <v>38</v>
      </c>
    </row>
    <row r="23" spans="2:12" ht="138.75" hidden="1" customHeight="1" thickBot="1" x14ac:dyDescent="0.3">
      <c r="B23" s="41" t="s">
        <v>122</v>
      </c>
      <c r="C23" s="42" t="s">
        <v>123</v>
      </c>
      <c r="D23" s="42" t="s">
        <v>124</v>
      </c>
      <c r="E23" s="43">
        <v>45017</v>
      </c>
      <c r="F23" s="43">
        <v>45017</v>
      </c>
      <c r="G23" s="42" t="s">
        <v>42</v>
      </c>
      <c r="H23" s="44">
        <v>9</v>
      </c>
      <c r="I23" s="44">
        <v>10.8</v>
      </c>
      <c r="J23" s="42" t="s">
        <v>73</v>
      </c>
      <c r="K23" s="42" t="s">
        <v>125</v>
      </c>
      <c r="L23" s="42" t="s">
        <v>38</v>
      </c>
    </row>
    <row r="24" spans="2:12" ht="48.75" thickBot="1" x14ac:dyDescent="0.3">
      <c r="B24" s="41" t="s">
        <v>126</v>
      </c>
      <c r="C24" s="42" t="s">
        <v>127</v>
      </c>
      <c r="D24" s="42" t="s">
        <v>128</v>
      </c>
      <c r="E24" s="43">
        <v>45047</v>
      </c>
      <c r="F24" s="43">
        <v>45047</v>
      </c>
      <c r="G24" s="42" t="s">
        <v>42</v>
      </c>
      <c r="H24" s="44">
        <v>6</v>
      </c>
      <c r="I24" s="44">
        <v>7.1</v>
      </c>
      <c r="J24" s="42" t="s">
        <v>129</v>
      </c>
      <c r="K24" s="42" t="s">
        <v>130</v>
      </c>
      <c r="L24" s="42" t="s">
        <v>33</v>
      </c>
    </row>
    <row r="25" spans="2:12" ht="72.75" hidden="1" thickBot="1" x14ac:dyDescent="0.3">
      <c r="B25" s="41" t="s">
        <v>131</v>
      </c>
      <c r="C25" s="42" t="s">
        <v>132</v>
      </c>
      <c r="D25" s="42" t="s">
        <v>133</v>
      </c>
      <c r="E25" s="43">
        <v>45047</v>
      </c>
      <c r="F25" s="43">
        <v>45047</v>
      </c>
      <c r="G25" s="42" t="s">
        <v>42</v>
      </c>
      <c r="H25" s="44">
        <v>9</v>
      </c>
      <c r="I25" s="44">
        <v>10.7</v>
      </c>
      <c r="J25" s="42" t="s">
        <v>134</v>
      </c>
      <c r="K25" s="42" t="s">
        <v>135</v>
      </c>
      <c r="L25" s="42" t="s">
        <v>38</v>
      </c>
    </row>
    <row r="26" spans="2:12" ht="72.75" hidden="1" thickBot="1" x14ac:dyDescent="0.3">
      <c r="B26" s="41" t="s">
        <v>136</v>
      </c>
      <c r="C26" s="42" t="s">
        <v>137</v>
      </c>
      <c r="D26" s="42" t="s">
        <v>138</v>
      </c>
      <c r="E26" s="43">
        <v>45047</v>
      </c>
      <c r="F26" s="43">
        <v>45047</v>
      </c>
      <c r="G26" s="42" t="s">
        <v>42</v>
      </c>
      <c r="H26" s="44">
        <v>9</v>
      </c>
      <c r="I26" s="44">
        <v>10.7</v>
      </c>
      <c r="J26" s="42" t="s">
        <v>73</v>
      </c>
      <c r="K26" s="42" t="s">
        <v>139</v>
      </c>
      <c r="L26" s="42" t="s">
        <v>38</v>
      </c>
    </row>
    <row r="27" spans="2:12" ht="48.75" thickBot="1" x14ac:dyDescent="0.3">
      <c r="B27" s="41" t="s">
        <v>140</v>
      </c>
      <c r="C27" s="42" t="s">
        <v>141</v>
      </c>
      <c r="D27" s="42" t="s">
        <v>128</v>
      </c>
      <c r="E27" s="43">
        <v>45047</v>
      </c>
      <c r="F27" s="43">
        <v>45047</v>
      </c>
      <c r="G27" s="42" t="s">
        <v>42</v>
      </c>
      <c r="H27" s="44">
        <v>9</v>
      </c>
      <c r="I27" s="44">
        <v>10.7</v>
      </c>
      <c r="J27" s="42" t="s">
        <v>73</v>
      </c>
      <c r="K27" s="42" t="s">
        <v>142</v>
      </c>
      <c r="L27" s="42" t="s">
        <v>33</v>
      </c>
    </row>
    <row r="28" spans="2:12" ht="72.75" hidden="1" thickBot="1" x14ac:dyDescent="0.3">
      <c r="B28" s="41" t="s">
        <v>143</v>
      </c>
      <c r="C28" s="42" t="s">
        <v>144</v>
      </c>
      <c r="D28" s="42" t="s">
        <v>128</v>
      </c>
      <c r="E28" s="43">
        <v>45047</v>
      </c>
      <c r="F28" s="43">
        <v>45047</v>
      </c>
      <c r="G28" s="42" t="s">
        <v>42</v>
      </c>
      <c r="H28" s="44">
        <v>9</v>
      </c>
      <c r="I28" s="44">
        <v>10.7</v>
      </c>
      <c r="J28" s="42" t="s">
        <v>73</v>
      </c>
      <c r="K28" s="42" t="s">
        <v>145</v>
      </c>
      <c r="L28" s="42" t="s">
        <v>38</v>
      </c>
    </row>
    <row r="29" spans="2:12" ht="72.75" hidden="1" thickBot="1" x14ac:dyDescent="0.3">
      <c r="B29" s="41" t="s">
        <v>146</v>
      </c>
      <c r="C29" s="42" t="s">
        <v>147</v>
      </c>
      <c r="D29" s="42" t="s">
        <v>128</v>
      </c>
      <c r="E29" s="43">
        <v>45078</v>
      </c>
      <c r="F29" s="43">
        <v>45078</v>
      </c>
      <c r="G29" s="42" t="s">
        <v>42</v>
      </c>
      <c r="H29" s="44">
        <v>6</v>
      </c>
      <c r="I29" s="44">
        <v>6.4</v>
      </c>
      <c r="J29" s="42" t="s">
        <v>43</v>
      </c>
      <c r="K29" s="42" t="s">
        <v>148</v>
      </c>
      <c r="L29" s="42" t="s">
        <v>38</v>
      </c>
    </row>
    <row r="30" spans="2:12" ht="48.75" thickBot="1" x14ac:dyDescent="0.3">
      <c r="B30" s="41" t="s">
        <v>149</v>
      </c>
      <c r="C30" s="42" t="s">
        <v>150</v>
      </c>
      <c r="D30" s="42" t="s">
        <v>128</v>
      </c>
      <c r="E30" s="43">
        <v>45078</v>
      </c>
      <c r="F30" s="43">
        <v>45078</v>
      </c>
      <c r="G30" s="42" t="s">
        <v>42</v>
      </c>
      <c r="H30" s="44">
        <v>9</v>
      </c>
      <c r="I30" s="44">
        <v>10</v>
      </c>
      <c r="J30" s="42" t="s">
        <v>73</v>
      </c>
      <c r="K30" s="42" t="s">
        <v>151</v>
      </c>
      <c r="L30" s="42" t="s">
        <v>33</v>
      </c>
    </row>
    <row r="31" spans="2:12" ht="48.75" thickBot="1" x14ac:dyDescent="0.3">
      <c r="B31" s="41" t="s">
        <v>152</v>
      </c>
      <c r="C31" s="42" t="s">
        <v>153</v>
      </c>
      <c r="D31" s="42" t="s">
        <v>154</v>
      </c>
      <c r="E31" s="43">
        <v>45078</v>
      </c>
      <c r="F31" s="43">
        <v>45078</v>
      </c>
      <c r="G31" s="42" t="s">
        <v>42</v>
      </c>
      <c r="H31" s="44">
        <v>9</v>
      </c>
      <c r="I31" s="44">
        <v>10.5</v>
      </c>
      <c r="J31" s="42" t="s">
        <v>73</v>
      </c>
      <c r="K31" s="42" t="s">
        <v>155</v>
      </c>
      <c r="L31" s="42" t="s">
        <v>54</v>
      </c>
    </row>
    <row r="32" spans="2:12" ht="72.75" hidden="1" thickBot="1" x14ac:dyDescent="0.3">
      <c r="B32" s="41" t="s">
        <v>156</v>
      </c>
      <c r="C32" s="42" t="s">
        <v>157</v>
      </c>
      <c r="D32" s="42" t="s">
        <v>158</v>
      </c>
      <c r="E32" s="43">
        <v>45078</v>
      </c>
      <c r="F32" s="43">
        <v>45078</v>
      </c>
      <c r="G32" s="42" t="s">
        <v>42</v>
      </c>
      <c r="H32" s="44">
        <v>9</v>
      </c>
      <c r="I32" s="44">
        <v>10.9</v>
      </c>
      <c r="J32" s="42" t="s">
        <v>159</v>
      </c>
      <c r="K32" s="42" t="s">
        <v>160</v>
      </c>
      <c r="L32" s="42" t="s">
        <v>38</v>
      </c>
    </row>
    <row r="33" spans="2:12" ht="72.75" hidden="1" thickBot="1" x14ac:dyDescent="0.3">
      <c r="B33" s="41" t="s">
        <v>161</v>
      </c>
      <c r="C33" s="42" t="s">
        <v>162</v>
      </c>
      <c r="D33" s="42" t="s">
        <v>110</v>
      </c>
      <c r="E33" s="43">
        <v>45108</v>
      </c>
      <c r="F33" s="43">
        <v>45108</v>
      </c>
      <c r="G33" s="42" t="s">
        <v>42</v>
      </c>
      <c r="H33" s="44">
        <v>0.8</v>
      </c>
      <c r="I33" s="44">
        <v>1</v>
      </c>
      <c r="J33" s="42" t="s">
        <v>43</v>
      </c>
      <c r="K33" s="42" t="s">
        <v>163</v>
      </c>
      <c r="L33" s="42" t="s">
        <v>38</v>
      </c>
    </row>
    <row r="34" spans="2:12" ht="72.75" hidden="1" thickBot="1" x14ac:dyDescent="0.3">
      <c r="B34" s="41" t="s">
        <v>164</v>
      </c>
      <c r="C34" s="42" t="s">
        <v>104</v>
      </c>
      <c r="D34" s="42" t="s">
        <v>165</v>
      </c>
      <c r="E34" s="43">
        <v>45108</v>
      </c>
      <c r="F34" s="43">
        <v>45108</v>
      </c>
      <c r="G34" s="42" t="s">
        <v>106</v>
      </c>
      <c r="H34" s="44">
        <v>1.6</v>
      </c>
      <c r="I34" s="44">
        <v>1.9</v>
      </c>
      <c r="J34" s="42" t="s">
        <v>68</v>
      </c>
      <c r="K34" s="42" t="s">
        <v>107</v>
      </c>
      <c r="L34" s="42" t="s">
        <v>38</v>
      </c>
    </row>
    <row r="35" spans="2:12" ht="72.75" hidden="1" thickBot="1" x14ac:dyDescent="0.3">
      <c r="B35" s="41" t="s">
        <v>166</v>
      </c>
      <c r="C35" s="42" t="s">
        <v>167</v>
      </c>
      <c r="D35" s="42" t="s">
        <v>168</v>
      </c>
      <c r="E35" s="43">
        <v>45108</v>
      </c>
      <c r="F35" s="43">
        <v>45108</v>
      </c>
      <c r="G35" s="42" t="s">
        <v>42</v>
      </c>
      <c r="H35" s="44">
        <v>9</v>
      </c>
      <c r="I35" s="44">
        <v>9.4</v>
      </c>
      <c r="J35" s="42" t="s">
        <v>68</v>
      </c>
      <c r="K35" s="42" t="s">
        <v>169</v>
      </c>
      <c r="L35" s="42" t="s">
        <v>38</v>
      </c>
    </row>
    <row r="36" spans="2:12" ht="72.75" hidden="1" thickBot="1" x14ac:dyDescent="0.3">
      <c r="B36" s="41" t="s">
        <v>170</v>
      </c>
      <c r="C36" s="42" t="s">
        <v>171</v>
      </c>
      <c r="D36" s="42" t="s">
        <v>128</v>
      </c>
      <c r="E36" s="43">
        <v>45108</v>
      </c>
      <c r="F36" s="43">
        <v>45108</v>
      </c>
      <c r="G36" s="42" t="s">
        <v>42</v>
      </c>
      <c r="H36" s="44">
        <v>9</v>
      </c>
      <c r="I36" s="44">
        <v>10.199999999999999</v>
      </c>
      <c r="J36" s="42" t="s">
        <v>73</v>
      </c>
      <c r="K36" s="42" t="s">
        <v>172</v>
      </c>
      <c r="L36" s="42" t="s">
        <v>38</v>
      </c>
    </row>
    <row r="37" spans="2:12" ht="72.75" hidden="1" thickBot="1" x14ac:dyDescent="0.3">
      <c r="B37" s="41" t="s">
        <v>173</v>
      </c>
      <c r="C37" s="42" t="s">
        <v>174</v>
      </c>
      <c r="D37" s="42" t="s">
        <v>110</v>
      </c>
      <c r="E37" s="43">
        <v>45108</v>
      </c>
      <c r="F37" s="43">
        <v>45108</v>
      </c>
      <c r="G37" s="42" t="s">
        <v>42</v>
      </c>
      <c r="H37" s="44">
        <v>9</v>
      </c>
      <c r="I37" s="44">
        <v>10.3</v>
      </c>
      <c r="J37" s="42" t="s">
        <v>43</v>
      </c>
      <c r="K37" s="42" t="s">
        <v>175</v>
      </c>
      <c r="L37" s="42" t="s">
        <v>38</v>
      </c>
    </row>
    <row r="38" spans="2:12" ht="72.75" hidden="1" thickBot="1" x14ac:dyDescent="0.3">
      <c r="B38" s="41" t="s">
        <v>176</v>
      </c>
      <c r="C38" s="42" t="s">
        <v>177</v>
      </c>
      <c r="D38" s="42" t="s">
        <v>178</v>
      </c>
      <c r="E38" s="43">
        <v>45017</v>
      </c>
      <c r="F38" s="43">
        <v>45139</v>
      </c>
      <c r="G38" s="42" t="s">
        <v>42</v>
      </c>
      <c r="H38" s="44">
        <v>3</v>
      </c>
      <c r="I38" s="44">
        <v>3</v>
      </c>
      <c r="J38" s="42" t="s">
        <v>73</v>
      </c>
      <c r="K38" s="42" t="s">
        <v>179</v>
      </c>
      <c r="L38" s="42" t="s">
        <v>38</v>
      </c>
    </row>
    <row r="39" spans="2:12" ht="48.75" thickBot="1" x14ac:dyDescent="0.3">
      <c r="B39" s="41" t="s">
        <v>180</v>
      </c>
      <c r="C39" s="42" t="s">
        <v>181</v>
      </c>
      <c r="D39" s="42" t="s">
        <v>182</v>
      </c>
      <c r="E39" s="43">
        <v>45139</v>
      </c>
      <c r="F39" s="43">
        <v>45139</v>
      </c>
      <c r="G39" s="42" t="s">
        <v>42</v>
      </c>
      <c r="H39" s="44">
        <v>3</v>
      </c>
      <c r="I39" s="44">
        <v>3.5</v>
      </c>
      <c r="J39" s="42" t="s">
        <v>48</v>
      </c>
      <c r="K39" s="42" t="s">
        <v>183</v>
      </c>
      <c r="L39" s="42" t="s">
        <v>33</v>
      </c>
    </row>
    <row r="40" spans="2:12" ht="48.75" thickBot="1" x14ac:dyDescent="0.3">
      <c r="B40" s="41" t="s">
        <v>184</v>
      </c>
      <c r="C40" s="42" t="s">
        <v>181</v>
      </c>
      <c r="D40" s="42" t="s">
        <v>182</v>
      </c>
      <c r="E40" s="43">
        <v>45139</v>
      </c>
      <c r="F40" s="43">
        <v>45139</v>
      </c>
      <c r="G40" s="42" t="s">
        <v>42</v>
      </c>
      <c r="H40" s="44">
        <v>3</v>
      </c>
      <c r="I40" s="44">
        <v>3.5</v>
      </c>
      <c r="J40" s="42" t="s">
        <v>48</v>
      </c>
      <c r="K40" s="42" t="s">
        <v>185</v>
      </c>
      <c r="L40" s="42" t="s">
        <v>54</v>
      </c>
    </row>
    <row r="41" spans="2:12" ht="48.75" thickBot="1" x14ac:dyDescent="0.3">
      <c r="B41" s="41" t="s">
        <v>186</v>
      </c>
      <c r="C41" s="42" t="s">
        <v>187</v>
      </c>
      <c r="D41" s="42" t="s">
        <v>188</v>
      </c>
      <c r="E41" s="43">
        <v>45139</v>
      </c>
      <c r="F41" s="43">
        <v>45139</v>
      </c>
      <c r="G41" s="42" t="s">
        <v>42</v>
      </c>
      <c r="H41" s="44">
        <v>9</v>
      </c>
      <c r="I41" s="44">
        <v>10.6</v>
      </c>
      <c r="J41" s="42" t="s">
        <v>134</v>
      </c>
      <c r="K41" s="42" t="s">
        <v>189</v>
      </c>
      <c r="L41" s="42" t="s">
        <v>33</v>
      </c>
    </row>
    <row r="42" spans="2:12" ht="48.75" thickBot="1" x14ac:dyDescent="0.3">
      <c r="B42" s="41" t="s">
        <v>190</v>
      </c>
      <c r="C42" s="42" t="s">
        <v>191</v>
      </c>
      <c r="D42" s="42" t="s">
        <v>128</v>
      </c>
      <c r="E42" s="43">
        <v>45139</v>
      </c>
      <c r="F42" s="43">
        <v>45139</v>
      </c>
      <c r="G42" s="42" t="s">
        <v>42</v>
      </c>
      <c r="H42" s="44">
        <v>9</v>
      </c>
      <c r="I42" s="44">
        <v>10.7</v>
      </c>
      <c r="J42" s="42" t="s">
        <v>73</v>
      </c>
      <c r="K42" s="42" t="s">
        <v>192</v>
      </c>
      <c r="L42" s="42" t="s">
        <v>33</v>
      </c>
    </row>
    <row r="43" spans="2:12" ht="48.75" thickBot="1" x14ac:dyDescent="0.3">
      <c r="B43" s="41" t="s">
        <v>193</v>
      </c>
      <c r="C43" s="42" t="s">
        <v>194</v>
      </c>
      <c r="D43" s="42" t="s">
        <v>110</v>
      </c>
      <c r="E43" s="43">
        <v>45017</v>
      </c>
      <c r="F43" s="43">
        <v>45170</v>
      </c>
      <c r="G43" s="42" t="s">
        <v>42</v>
      </c>
      <c r="H43" s="44">
        <v>3</v>
      </c>
      <c r="I43" s="44">
        <v>3</v>
      </c>
      <c r="J43" s="42" t="s">
        <v>52</v>
      </c>
      <c r="K43" s="42" t="s">
        <v>195</v>
      </c>
      <c r="L43" s="42" t="s">
        <v>33</v>
      </c>
    </row>
    <row r="44" spans="2:12" ht="72.75" hidden="1" thickBot="1" x14ac:dyDescent="0.3">
      <c r="B44" s="41" t="s">
        <v>196</v>
      </c>
      <c r="C44" s="42" t="s">
        <v>197</v>
      </c>
      <c r="D44" s="42" t="s">
        <v>198</v>
      </c>
      <c r="E44" s="43">
        <v>44986</v>
      </c>
      <c r="F44" s="43">
        <v>45170</v>
      </c>
      <c r="G44" s="42" t="s">
        <v>42</v>
      </c>
      <c r="H44" s="44">
        <v>3</v>
      </c>
      <c r="I44" s="44">
        <v>3</v>
      </c>
      <c r="J44" s="42" t="s">
        <v>111</v>
      </c>
      <c r="K44" s="42" t="s">
        <v>199</v>
      </c>
      <c r="L44" s="42" t="s">
        <v>38</v>
      </c>
    </row>
    <row r="45" spans="2:12" ht="72.75" hidden="1" thickBot="1" x14ac:dyDescent="0.3">
      <c r="B45" s="41" t="s">
        <v>200</v>
      </c>
      <c r="C45" s="42" t="s">
        <v>201</v>
      </c>
      <c r="D45" s="42" t="s">
        <v>202</v>
      </c>
      <c r="E45" s="43">
        <v>45170</v>
      </c>
      <c r="F45" s="43">
        <v>45170</v>
      </c>
      <c r="G45" s="42" t="s">
        <v>42</v>
      </c>
      <c r="H45" s="44">
        <v>9</v>
      </c>
      <c r="I45" s="44">
        <v>10.199999999999999</v>
      </c>
      <c r="J45" s="42" t="s">
        <v>73</v>
      </c>
      <c r="K45" s="42" t="s">
        <v>203</v>
      </c>
      <c r="L45" s="42" t="s">
        <v>38</v>
      </c>
    </row>
    <row r="46" spans="2:12" ht="72.75" hidden="1" thickBot="1" x14ac:dyDescent="0.3">
      <c r="B46" s="41" t="s">
        <v>208</v>
      </c>
      <c r="C46" s="42" t="s">
        <v>209</v>
      </c>
      <c r="D46" s="42" t="s">
        <v>110</v>
      </c>
      <c r="E46" s="43">
        <v>45170</v>
      </c>
      <c r="F46" s="43">
        <v>45170</v>
      </c>
      <c r="G46" s="42" t="s">
        <v>42</v>
      </c>
      <c r="H46" s="44">
        <v>9</v>
      </c>
      <c r="I46" s="44">
        <v>11</v>
      </c>
      <c r="J46" s="42" t="s">
        <v>129</v>
      </c>
      <c r="K46" s="42" t="s">
        <v>210</v>
      </c>
      <c r="L46" s="42" t="s">
        <v>38</v>
      </c>
    </row>
    <row r="47" spans="2:12" ht="72.75" hidden="1" thickBot="1" x14ac:dyDescent="0.3">
      <c r="B47" s="41" t="s">
        <v>211</v>
      </c>
      <c r="C47" s="42" t="s">
        <v>104</v>
      </c>
      <c r="D47" s="42" t="s">
        <v>212</v>
      </c>
      <c r="E47" s="43">
        <v>45108</v>
      </c>
      <c r="F47" s="43">
        <v>45200</v>
      </c>
      <c r="G47" s="42" t="s">
        <v>106</v>
      </c>
      <c r="H47" s="44">
        <v>1.9</v>
      </c>
      <c r="I47" s="44">
        <v>2.2000000000000002</v>
      </c>
      <c r="J47" s="42" t="s">
        <v>68</v>
      </c>
      <c r="K47" s="42" t="s">
        <v>107</v>
      </c>
      <c r="L47" s="42" t="s">
        <v>38</v>
      </c>
    </row>
    <row r="48" spans="2:12" ht="60.75" thickBot="1" x14ac:dyDescent="0.3">
      <c r="B48" s="41" t="s">
        <v>213</v>
      </c>
      <c r="C48" s="42" t="s">
        <v>214</v>
      </c>
      <c r="D48" s="42" t="s">
        <v>215</v>
      </c>
      <c r="E48" s="43">
        <v>45078</v>
      </c>
      <c r="F48" s="43">
        <v>45200</v>
      </c>
      <c r="G48" s="42" t="s">
        <v>42</v>
      </c>
      <c r="H48" s="44">
        <v>3</v>
      </c>
      <c r="I48" s="44">
        <v>3</v>
      </c>
      <c r="J48" s="42" t="s">
        <v>206</v>
      </c>
      <c r="K48" s="42" t="s">
        <v>216</v>
      </c>
      <c r="L48" s="42" t="s">
        <v>33</v>
      </c>
    </row>
    <row r="49" spans="2:12" ht="48.75" thickBot="1" x14ac:dyDescent="0.3">
      <c r="B49" s="41" t="s">
        <v>217</v>
      </c>
      <c r="C49" s="42" t="s">
        <v>218</v>
      </c>
      <c r="D49" s="42" t="s">
        <v>219</v>
      </c>
      <c r="E49" s="43">
        <v>45200</v>
      </c>
      <c r="F49" s="43">
        <v>45200</v>
      </c>
      <c r="G49" s="42" t="s">
        <v>42</v>
      </c>
      <c r="H49" s="44">
        <v>3</v>
      </c>
      <c r="I49" s="44">
        <v>3</v>
      </c>
      <c r="J49" s="42" t="s">
        <v>134</v>
      </c>
      <c r="K49" s="42" t="s">
        <v>220</v>
      </c>
      <c r="L49" s="42" t="s">
        <v>33</v>
      </c>
    </row>
    <row r="50" spans="2:12" ht="72.75" hidden="1" thickBot="1" x14ac:dyDescent="0.3">
      <c r="B50" s="41" t="s">
        <v>221</v>
      </c>
      <c r="C50" s="42" t="s">
        <v>222</v>
      </c>
      <c r="D50" s="42" t="s">
        <v>223</v>
      </c>
      <c r="E50" s="43">
        <v>45200</v>
      </c>
      <c r="F50" s="43">
        <v>45200</v>
      </c>
      <c r="G50" s="42" t="s">
        <v>42</v>
      </c>
      <c r="H50" s="44">
        <v>3</v>
      </c>
      <c r="I50" s="44">
        <v>3</v>
      </c>
      <c r="J50" s="42" t="s">
        <v>73</v>
      </c>
      <c r="K50" s="42" t="s">
        <v>224</v>
      </c>
      <c r="L50" s="42" t="s">
        <v>38</v>
      </c>
    </row>
    <row r="51" spans="2:12" ht="72.75" hidden="1" thickBot="1" x14ac:dyDescent="0.3">
      <c r="B51" s="41" t="s">
        <v>225</v>
      </c>
      <c r="C51" s="42" t="s">
        <v>226</v>
      </c>
      <c r="D51" s="42" t="s">
        <v>110</v>
      </c>
      <c r="E51" s="43">
        <v>45200</v>
      </c>
      <c r="F51" s="43">
        <v>45200</v>
      </c>
      <c r="G51" s="42" t="s">
        <v>42</v>
      </c>
      <c r="H51" s="44">
        <v>3</v>
      </c>
      <c r="I51" s="44">
        <v>3</v>
      </c>
      <c r="J51" s="42" t="s">
        <v>73</v>
      </c>
      <c r="K51" s="42" t="s">
        <v>227</v>
      </c>
      <c r="L51" s="42" t="s">
        <v>38</v>
      </c>
    </row>
    <row r="52" spans="2:12" ht="48.75" thickBot="1" x14ac:dyDescent="0.3">
      <c r="B52" s="41" t="s">
        <v>228</v>
      </c>
      <c r="C52" s="42" t="s">
        <v>229</v>
      </c>
      <c r="D52" s="42" t="s">
        <v>128</v>
      </c>
      <c r="E52" s="43">
        <v>45017</v>
      </c>
      <c r="F52" s="43">
        <v>45200</v>
      </c>
      <c r="G52" s="42" t="s">
        <v>42</v>
      </c>
      <c r="H52" s="44">
        <v>6</v>
      </c>
      <c r="I52" s="44">
        <v>6.4</v>
      </c>
      <c r="J52" s="42" t="s">
        <v>43</v>
      </c>
      <c r="K52" s="42" t="s">
        <v>230</v>
      </c>
      <c r="L52" s="42" t="s">
        <v>54</v>
      </c>
    </row>
    <row r="53" spans="2:12" ht="72.75" hidden="1" thickBot="1" x14ac:dyDescent="0.3">
      <c r="B53" s="41" t="s">
        <v>231</v>
      </c>
      <c r="C53" s="42" t="s">
        <v>232</v>
      </c>
      <c r="D53" s="42" t="s">
        <v>128</v>
      </c>
      <c r="E53" s="43">
        <v>45200</v>
      </c>
      <c r="F53" s="43">
        <v>45200</v>
      </c>
      <c r="G53" s="42" t="s">
        <v>42</v>
      </c>
      <c r="H53" s="44">
        <v>9</v>
      </c>
      <c r="I53" s="44">
        <v>10.5</v>
      </c>
      <c r="J53" s="42" t="s">
        <v>73</v>
      </c>
      <c r="K53" s="42" t="s">
        <v>233</v>
      </c>
      <c r="L53" s="42" t="s">
        <v>38</v>
      </c>
    </row>
    <row r="54" spans="2:12" ht="72.75" hidden="1" thickBot="1" x14ac:dyDescent="0.3">
      <c r="B54" s="41" t="s">
        <v>234</v>
      </c>
      <c r="C54" s="42" t="s">
        <v>235</v>
      </c>
      <c r="D54" s="42" t="s">
        <v>236</v>
      </c>
      <c r="E54" s="43">
        <v>45200</v>
      </c>
      <c r="F54" s="43">
        <v>45200</v>
      </c>
      <c r="G54" s="42" t="s">
        <v>42</v>
      </c>
      <c r="H54" s="44">
        <v>9</v>
      </c>
      <c r="I54" s="44">
        <v>10.8</v>
      </c>
      <c r="J54" s="42" t="s">
        <v>43</v>
      </c>
      <c r="K54" s="42" t="s">
        <v>237</v>
      </c>
      <c r="L54" s="42" t="s">
        <v>38</v>
      </c>
    </row>
    <row r="55" spans="2:12" ht="72.75" hidden="1" thickBot="1" x14ac:dyDescent="0.3">
      <c r="B55" s="41" t="s">
        <v>238</v>
      </c>
      <c r="C55" s="42" t="s">
        <v>239</v>
      </c>
      <c r="D55" s="42" t="s">
        <v>128</v>
      </c>
      <c r="E55" s="43">
        <v>45200</v>
      </c>
      <c r="F55" s="43">
        <v>45200</v>
      </c>
      <c r="G55" s="42" t="s">
        <v>42</v>
      </c>
      <c r="H55" s="44">
        <v>9</v>
      </c>
      <c r="I55" s="44">
        <v>11.2</v>
      </c>
      <c r="J55" s="42" t="s">
        <v>48</v>
      </c>
      <c r="K55" s="42" t="s">
        <v>240</v>
      </c>
      <c r="L55" s="42" t="s">
        <v>38</v>
      </c>
    </row>
    <row r="56" spans="2:12" ht="48.75" thickBot="1" x14ac:dyDescent="0.3">
      <c r="B56" s="41" t="s">
        <v>241</v>
      </c>
      <c r="C56" s="42" t="s">
        <v>242</v>
      </c>
      <c r="D56" s="42" t="s">
        <v>110</v>
      </c>
      <c r="E56" s="43">
        <v>45078</v>
      </c>
      <c r="F56" s="43">
        <v>45231</v>
      </c>
      <c r="G56" s="42" t="s">
        <v>42</v>
      </c>
      <c r="H56" s="44">
        <v>3</v>
      </c>
      <c r="I56" s="44">
        <v>3</v>
      </c>
      <c r="J56" s="42" t="s">
        <v>73</v>
      </c>
      <c r="K56" s="42" t="s">
        <v>139</v>
      </c>
      <c r="L56" s="42" t="s">
        <v>54</v>
      </c>
    </row>
    <row r="57" spans="2:12" ht="60.75" thickBot="1" x14ac:dyDescent="0.3">
      <c r="B57" s="41" t="s">
        <v>243</v>
      </c>
      <c r="C57" s="42" t="s">
        <v>244</v>
      </c>
      <c r="D57" s="42" t="s">
        <v>110</v>
      </c>
      <c r="E57" s="43">
        <v>45108</v>
      </c>
      <c r="F57" s="43">
        <v>45231</v>
      </c>
      <c r="G57" s="42" t="s">
        <v>42</v>
      </c>
      <c r="H57" s="44">
        <v>2.8</v>
      </c>
      <c r="I57" s="44">
        <v>3</v>
      </c>
      <c r="J57" s="42" t="s">
        <v>206</v>
      </c>
      <c r="K57" s="42" t="s">
        <v>245</v>
      </c>
      <c r="L57" s="42" t="s">
        <v>33</v>
      </c>
    </row>
    <row r="58" spans="2:12" ht="72.75" hidden="1" thickBot="1" x14ac:dyDescent="0.3">
      <c r="B58" s="41" t="s">
        <v>246</v>
      </c>
      <c r="C58" s="42" t="s">
        <v>247</v>
      </c>
      <c r="D58" s="42" t="s">
        <v>110</v>
      </c>
      <c r="E58" s="43">
        <v>45231</v>
      </c>
      <c r="F58" s="43">
        <v>45231</v>
      </c>
      <c r="G58" s="42" t="s">
        <v>42</v>
      </c>
      <c r="H58" s="44">
        <v>9</v>
      </c>
      <c r="I58" s="44">
        <v>10.9</v>
      </c>
      <c r="J58" s="42" t="s">
        <v>43</v>
      </c>
      <c r="K58" s="42" t="s">
        <v>248</v>
      </c>
      <c r="L58" s="42" t="s">
        <v>38</v>
      </c>
    </row>
    <row r="59" spans="2:12" ht="72.75" hidden="1" thickBot="1" x14ac:dyDescent="0.3">
      <c r="B59" s="41" t="s">
        <v>249</v>
      </c>
      <c r="C59" s="42" t="s">
        <v>250</v>
      </c>
      <c r="D59" s="42" t="s">
        <v>251</v>
      </c>
      <c r="E59" s="43">
        <v>45261</v>
      </c>
      <c r="F59" s="43">
        <v>45261</v>
      </c>
      <c r="G59" s="42" t="s">
        <v>42</v>
      </c>
      <c r="H59" s="44">
        <v>3</v>
      </c>
      <c r="I59" s="44">
        <v>3</v>
      </c>
      <c r="J59" s="42" t="s">
        <v>206</v>
      </c>
      <c r="K59" s="42" t="s">
        <v>252</v>
      </c>
      <c r="L59" s="42" t="s">
        <v>38</v>
      </c>
    </row>
    <row r="60" spans="2:12" ht="48.75" thickBot="1" x14ac:dyDescent="0.3">
      <c r="B60" s="41" t="s">
        <v>253</v>
      </c>
      <c r="C60" s="42" t="s">
        <v>254</v>
      </c>
      <c r="D60" s="42" t="s">
        <v>110</v>
      </c>
      <c r="E60" s="43">
        <v>45261</v>
      </c>
      <c r="F60" s="43">
        <v>45261</v>
      </c>
      <c r="G60" s="42" t="s">
        <v>42</v>
      </c>
      <c r="H60" s="44">
        <v>6</v>
      </c>
      <c r="I60" s="44">
        <v>7.3</v>
      </c>
      <c r="J60" s="42" t="s">
        <v>111</v>
      </c>
      <c r="K60" s="42" t="s">
        <v>255</v>
      </c>
      <c r="L60" s="42" t="s">
        <v>54</v>
      </c>
    </row>
    <row r="61" spans="2:12" ht="48.75" thickBot="1" x14ac:dyDescent="0.3">
      <c r="B61" s="41" t="s">
        <v>256</v>
      </c>
      <c r="C61" s="42" t="s">
        <v>257</v>
      </c>
      <c r="D61" s="42" t="s">
        <v>258</v>
      </c>
      <c r="E61" s="43">
        <v>45078</v>
      </c>
      <c r="F61" s="43">
        <v>45261</v>
      </c>
      <c r="G61" s="42" t="s">
        <v>42</v>
      </c>
      <c r="H61" s="44">
        <v>9</v>
      </c>
      <c r="I61" s="44">
        <v>9.6999999999999993</v>
      </c>
      <c r="J61" s="42" t="s">
        <v>52</v>
      </c>
      <c r="K61" s="42" t="s">
        <v>259</v>
      </c>
      <c r="L61" s="42" t="s">
        <v>54</v>
      </c>
    </row>
    <row r="62" spans="2:12" ht="48.75" thickBot="1" x14ac:dyDescent="0.3">
      <c r="B62" s="41" t="s">
        <v>260</v>
      </c>
      <c r="C62" s="42" t="s">
        <v>261</v>
      </c>
      <c r="D62" s="42" t="s">
        <v>262</v>
      </c>
      <c r="E62" s="43">
        <v>45078</v>
      </c>
      <c r="F62" s="43">
        <v>45261</v>
      </c>
      <c r="G62" s="42" t="s">
        <v>42</v>
      </c>
      <c r="H62" s="44">
        <v>9</v>
      </c>
      <c r="I62" s="44">
        <v>10.5</v>
      </c>
      <c r="J62" s="42" t="s">
        <v>52</v>
      </c>
      <c r="K62" s="42" t="s">
        <v>263</v>
      </c>
      <c r="L62" s="42" t="s">
        <v>54</v>
      </c>
    </row>
    <row r="63" spans="2:12" ht="48.75" thickBot="1" x14ac:dyDescent="0.3">
      <c r="B63" s="41" t="s">
        <v>264</v>
      </c>
      <c r="C63" s="42" t="s">
        <v>265</v>
      </c>
      <c r="D63" s="42" t="s">
        <v>110</v>
      </c>
      <c r="E63" s="43">
        <v>45108</v>
      </c>
      <c r="F63" s="43">
        <v>45261</v>
      </c>
      <c r="G63" s="42" t="s">
        <v>42</v>
      </c>
      <c r="H63" s="44">
        <v>9</v>
      </c>
      <c r="I63" s="44">
        <v>10.8</v>
      </c>
      <c r="J63" s="42" t="s">
        <v>73</v>
      </c>
      <c r="K63" s="42" t="s">
        <v>266</v>
      </c>
      <c r="L63" s="42" t="s">
        <v>54</v>
      </c>
    </row>
    <row r="64" spans="2:12" ht="48.75" thickBot="1" x14ac:dyDescent="0.3">
      <c r="B64" s="41" t="s">
        <v>267</v>
      </c>
      <c r="C64" s="42" t="s">
        <v>268</v>
      </c>
      <c r="D64" s="42" t="s">
        <v>269</v>
      </c>
      <c r="E64" s="43">
        <v>45261</v>
      </c>
      <c r="F64" s="43">
        <v>45261</v>
      </c>
      <c r="G64" s="42" t="s">
        <v>42</v>
      </c>
      <c r="H64" s="44">
        <v>9</v>
      </c>
      <c r="I64" s="44">
        <v>12.5</v>
      </c>
      <c r="J64" s="42" t="s">
        <v>48</v>
      </c>
      <c r="K64" s="42" t="s">
        <v>270</v>
      </c>
      <c r="L64" s="42" t="s">
        <v>33</v>
      </c>
    </row>
    <row r="65" spans="2:13" ht="48.75" thickBot="1" x14ac:dyDescent="0.3">
      <c r="B65" s="41" t="s">
        <v>271</v>
      </c>
      <c r="C65" s="42" t="s">
        <v>272</v>
      </c>
      <c r="D65" s="42" t="s">
        <v>273</v>
      </c>
      <c r="E65" s="43">
        <v>45292</v>
      </c>
      <c r="F65" s="43">
        <v>45292</v>
      </c>
      <c r="G65" s="42" t="s">
        <v>42</v>
      </c>
      <c r="H65" s="44">
        <v>3</v>
      </c>
      <c r="I65" s="44">
        <v>3</v>
      </c>
      <c r="J65" s="42" t="s">
        <v>68</v>
      </c>
      <c r="K65" s="42" t="s">
        <v>107</v>
      </c>
      <c r="L65" s="42" t="s">
        <v>33</v>
      </c>
    </row>
    <row r="66" spans="2:13" ht="72.75" hidden="1" thickBot="1" x14ac:dyDescent="0.3">
      <c r="B66" s="41" t="s">
        <v>281</v>
      </c>
      <c r="C66" s="42" t="s">
        <v>282</v>
      </c>
      <c r="D66" s="42" t="s">
        <v>47</v>
      </c>
      <c r="E66" s="43">
        <v>44531</v>
      </c>
      <c r="F66" s="43">
        <v>45323</v>
      </c>
      <c r="G66" s="42" t="s">
        <v>42</v>
      </c>
      <c r="H66" s="44">
        <v>2.9</v>
      </c>
      <c r="I66" s="44">
        <v>3</v>
      </c>
      <c r="J66" s="42" t="s">
        <v>73</v>
      </c>
      <c r="K66" s="42" t="s">
        <v>283</v>
      </c>
      <c r="L66" s="42" t="s">
        <v>38</v>
      </c>
    </row>
    <row r="67" spans="2:13" ht="72.75" hidden="1" thickBot="1" x14ac:dyDescent="0.3">
      <c r="B67" s="41" t="s">
        <v>284</v>
      </c>
      <c r="C67" s="42" t="s">
        <v>285</v>
      </c>
      <c r="D67" s="42" t="s">
        <v>110</v>
      </c>
      <c r="E67" s="43">
        <v>45323</v>
      </c>
      <c r="F67" s="43">
        <v>45323</v>
      </c>
      <c r="G67" s="42" t="s">
        <v>42</v>
      </c>
      <c r="H67" s="44">
        <v>3</v>
      </c>
      <c r="I67" s="44">
        <v>3</v>
      </c>
      <c r="J67" s="42" t="s">
        <v>129</v>
      </c>
      <c r="K67" s="42" t="s">
        <v>286</v>
      </c>
      <c r="L67" s="42" t="s">
        <v>38</v>
      </c>
    </row>
    <row r="68" spans="2:13" ht="72.75" hidden="1" thickBot="1" x14ac:dyDescent="0.3">
      <c r="B68" s="41" t="s">
        <v>287</v>
      </c>
      <c r="C68" s="42" t="s">
        <v>288</v>
      </c>
      <c r="D68" s="42" t="s">
        <v>128</v>
      </c>
      <c r="E68" s="43">
        <v>45323</v>
      </c>
      <c r="F68" s="43">
        <v>45323</v>
      </c>
      <c r="G68" s="42" t="s">
        <v>42</v>
      </c>
      <c r="H68" s="44">
        <v>8.1999999999999993</v>
      </c>
      <c r="I68" s="44">
        <v>9.1999999999999993</v>
      </c>
      <c r="J68" s="42" t="s">
        <v>206</v>
      </c>
      <c r="K68" s="42" t="s">
        <v>289</v>
      </c>
      <c r="L68" s="42" t="s">
        <v>38</v>
      </c>
      <c r="M68" s="115"/>
    </row>
    <row r="69" spans="2:13" ht="72.75" hidden="1" thickBot="1" x14ac:dyDescent="0.3">
      <c r="B69" s="41" t="s">
        <v>290</v>
      </c>
      <c r="C69" s="42" t="s">
        <v>291</v>
      </c>
      <c r="D69" s="42" t="s">
        <v>292</v>
      </c>
      <c r="E69" s="43">
        <v>44774</v>
      </c>
      <c r="F69" s="43">
        <v>45352</v>
      </c>
      <c r="G69" s="42" t="s">
        <v>42</v>
      </c>
      <c r="H69" s="44">
        <v>3</v>
      </c>
      <c r="I69" s="44">
        <v>3</v>
      </c>
      <c r="J69" s="42" t="s">
        <v>52</v>
      </c>
      <c r="K69" s="42" t="s">
        <v>293</v>
      </c>
      <c r="L69" s="42" t="s">
        <v>38</v>
      </c>
    </row>
    <row r="70" spans="2:13" ht="72.75" hidden="1" thickBot="1" x14ac:dyDescent="0.3">
      <c r="B70" s="41" t="s">
        <v>294</v>
      </c>
      <c r="C70" s="42" t="s">
        <v>295</v>
      </c>
      <c r="D70" s="85" t="s">
        <v>296</v>
      </c>
      <c r="E70" s="43">
        <v>44866</v>
      </c>
      <c r="F70" s="43">
        <v>45352</v>
      </c>
      <c r="G70" s="42" t="s">
        <v>42</v>
      </c>
      <c r="H70" s="44">
        <v>2.9</v>
      </c>
      <c r="I70" s="44">
        <v>3</v>
      </c>
      <c r="J70" s="42" t="s">
        <v>52</v>
      </c>
      <c r="K70" s="42" t="s">
        <v>297</v>
      </c>
      <c r="L70" s="42" t="s">
        <v>38</v>
      </c>
    </row>
    <row r="71" spans="2:13" ht="72.75" hidden="1" thickBot="1" x14ac:dyDescent="0.3">
      <c r="B71" s="41" t="s">
        <v>298</v>
      </c>
      <c r="C71" s="42" t="s">
        <v>91</v>
      </c>
      <c r="D71" s="42" t="s">
        <v>299</v>
      </c>
      <c r="E71" s="43">
        <v>45352</v>
      </c>
      <c r="F71" s="43">
        <v>45352</v>
      </c>
      <c r="G71" s="42" t="s">
        <v>93</v>
      </c>
      <c r="H71" s="44">
        <v>3</v>
      </c>
      <c r="I71" s="44">
        <v>3</v>
      </c>
      <c r="J71" s="42" t="s">
        <v>43</v>
      </c>
      <c r="K71" s="42" t="s">
        <v>300</v>
      </c>
      <c r="L71" s="42" t="s">
        <v>38</v>
      </c>
    </row>
    <row r="72" spans="2:13" ht="48.75" thickBot="1" x14ac:dyDescent="0.3">
      <c r="B72" s="41" t="s">
        <v>301</v>
      </c>
      <c r="C72" s="42" t="s">
        <v>302</v>
      </c>
      <c r="D72" s="42" t="s">
        <v>303</v>
      </c>
      <c r="E72" s="43">
        <v>45200</v>
      </c>
      <c r="F72" s="43">
        <v>45352</v>
      </c>
      <c r="G72" s="42" t="s">
        <v>42</v>
      </c>
      <c r="H72" s="44">
        <v>9</v>
      </c>
      <c r="I72" s="44">
        <v>10.4</v>
      </c>
      <c r="J72" s="42" t="s">
        <v>73</v>
      </c>
      <c r="K72" s="42" t="s">
        <v>304</v>
      </c>
      <c r="L72" s="42" t="s">
        <v>33</v>
      </c>
    </row>
    <row r="73" spans="2:13" ht="72.75" hidden="1" thickBot="1" x14ac:dyDescent="0.3">
      <c r="B73" s="41" t="s">
        <v>305</v>
      </c>
      <c r="C73" s="42" t="s">
        <v>306</v>
      </c>
      <c r="D73" s="42" t="s">
        <v>307</v>
      </c>
      <c r="E73" s="43">
        <v>45261</v>
      </c>
      <c r="F73" s="43">
        <v>45383</v>
      </c>
      <c r="G73" s="42" t="s">
        <v>308</v>
      </c>
      <c r="H73" s="44">
        <v>3</v>
      </c>
      <c r="I73" s="44">
        <v>3</v>
      </c>
      <c r="J73" s="42" t="s">
        <v>43</v>
      </c>
      <c r="K73" s="42" t="s">
        <v>309</v>
      </c>
      <c r="L73" s="42" t="s">
        <v>38</v>
      </c>
    </row>
    <row r="74" spans="2:13" ht="72.75" hidden="1" thickBot="1" x14ac:dyDescent="0.3">
      <c r="B74" s="41" t="s">
        <v>310</v>
      </c>
      <c r="C74" s="42" t="s">
        <v>311</v>
      </c>
      <c r="D74" s="42" t="s">
        <v>312</v>
      </c>
      <c r="E74" s="43">
        <v>45383</v>
      </c>
      <c r="F74" s="43">
        <v>45383</v>
      </c>
      <c r="G74" s="42" t="s">
        <v>42</v>
      </c>
      <c r="H74" s="44">
        <v>2.5</v>
      </c>
      <c r="I74" s="44">
        <v>3</v>
      </c>
      <c r="J74" s="42" t="s">
        <v>68</v>
      </c>
      <c r="K74" s="42" t="s">
        <v>313</v>
      </c>
      <c r="L74" s="42" t="s">
        <v>38</v>
      </c>
    </row>
    <row r="75" spans="2:13" ht="48.75" thickBot="1" x14ac:dyDescent="0.3">
      <c r="B75" s="41" t="s">
        <v>314</v>
      </c>
      <c r="C75" s="42" t="s">
        <v>315</v>
      </c>
      <c r="D75" s="42" t="s">
        <v>110</v>
      </c>
      <c r="E75" s="43">
        <v>45383</v>
      </c>
      <c r="F75" s="43">
        <v>45383</v>
      </c>
      <c r="G75" s="42" t="s">
        <v>42</v>
      </c>
      <c r="H75" s="44">
        <v>9</v>
      </c>
      <c r="I75" s="44">
        <v>11.3</v>
      </c>
      <c r="J75" s="42" t="s">
        <v>316</v>
      </c>
      <c r="K75" s="42" t="s">
        <v>317</v>
      </c>
      <c r="L75" s="42" t="s">
        <v>33</v>
      </c>
    </row>
    <row r="76" spans="2:13" ht="72.75" hidden="1" thickBot="1" x14ac:dyDescent="0.3">
      <c r="B76" s="41" t="s">
        <v>318</v>
      </c>
      <c r="C76" s="42" t="s">
        <v>319</v>
      </c>
      <c r="D76" s="42" t="s">
        <v>320</v>
      </c>
      <c r="E76" s="43">
        <v>44713</v>
      </c>
      <c r="F76" s="43">
        <v>45413</v>
      </c>
      <c r="G76" s="42" t="s">
        <v>42</v>
      </c>
      <c r="H76" s="44">
        <v>2.9</v>
      </c>
      <c r="I76" s="44">
        <v>3</v>
      </c>
      <c r="J76" s="42" t="s">
        <v>48</v>
      </c>
      <c r="K76" s="42" t="s">
        <v>321</v>
      </c>
      <c r="L76" s="42" t="s">
        <v>38</v>
      </c>
    </row>
    <row r="77" spans="2:13" ht="72.75" hidden="1" thickBot="1" x14ac:dyDescent="0.3">
      <c r="B77" s="41" t="s">
        <v>322</v>
      </c>
      <c r="C77" s="42" t="s">
        <v>323</v>
      </c>
      <c r="D77" s="42" t="s">
        <v>324</v>
      </c>
      <c r="E77" s="43">
        <v>44743</v>
      </c>
      <c r="F77" s="43">
        <v>45413</v>
      </c>
      <c r="G77" s="42" t="s">
        <v>42</v>
      </c>
      <c r="H77" s="44">
        <v>3</v>
      </c>
      <c r="I77" s="44">
        <v>3</v>
      </c>
      <c r="J77" s="42" t="s">
        <v>68</v>
      </c>
      <c r="K77" s="42" t="s">
        <v>325</v>
      </c>
      <c r="L77" s="42" t="s">
        <v>38</v>
      </c>
    </row>
    <row r="78" spans="2:13" ht="72.75" hidden="1" thickBot="1" x14ac:dyDescent="0.3">
      <c r="B78" s="41" t="s">
        <v>326</v>
      </c>
      <c r="C78" s="42" t="s">
        <v>327</v>
      </c>
      <c r="D78" s="42" t="s">
        <v>328</v>
      </c>
      <c r="E78" s="43">
        <v>44805</v>
      </c>
      <c r="F78" s="43">
        <v>45413</v>
      </c>
      <c r="G78" s="42" t="s">
        <v>42</v>
      </c>
      <c r="H78" s="44">
        <v>2.9</v>
      </c>
      <c r="I78" s="44">
        <v>3</v>
      </c>
      <c r="J78" s="42" t="s">
        <v>111</v>
      </c>
      <c r="K78" s="42" t="s">
        <v>329</v>
      </c>
      <c r="L78" s="42" t="s">
        <v>38</v>
      </c>
    </row>
    <row r="79" spans="2:13" ht="72.75" hidden="1" thickBot="1" x14ac:dyDescent="0.3">
      <c r="B79" s="41" t="s">
        <v>330</v>
      </c>
      <c r="C79" s="42" t="s">
        <v>331</v>
      </c>
      <c r="D79" s="42" t="s">
        <v>128</v>
      </c>
      <c r="E79" s="43">
        <v>45261</v>
      </c>
      <c r="F79" s="43">
        <v>45413</v>
      </c>
      <c r="G79" s="42" t="s">
        <v>42</v>
      </c>
      <c r="H79" s="44">
        <v>3</v>
      </c>
      <c r="I79" s="44">
        <v>3</v>
      </c>
      <c r="J79" s="42" t="s">
        <v>332</v>
      </c>
      <c r="K79" s="42" t="s">
        <v>333</v>
      </c>
      <c r="L79" s="42" t="s">
        <v>38</v>
      </c>
    </row>
    <row r="80" spans="2:13" ht="72.75" hidden="1" thickBot="1" x14ac:dyDescent="0.3">
      <c r="B80" s="41" t="s">
        <v>334</v>
      </c>
      <c r="C80" s="42" t="s">
        <v>335</v>
      </c>
      <c r="D80" s="42" t="s">
        <v>320</v>
      </c>
      <c r="E80" s="43">
        <v>44652</v>
      </c>
      <c r="F80" s="43">
        <v>45413</v>
      </c>
      <c r="G80" s="42" t="s">
        <v>42</v>
      </c>
      <c r="H80" s="44">
        <v>2.9</v>
      </c>
      <c r="I80" s="44">
        <v>3</v>
      </c>
      <c r="J80" s="42" t="s">
        <v>68</v>
      </c>
      <c r="K80" s="42" t="s">
        <v>336</v>
      </c>
      <c r="L80" s="42" t="s">
        <v>38</v>
      </c>
    </row>
    <row r="81" spans="2:12" ht="72.75" hidden="1" thickBot="1" x14ac:dyDescent="0.3">
      <c r="B81" s="41" t="s">
        <v>337</v>
      </c>
      <c r="C81" s="42" t="s">
        <v>338</v>
      </c>
      <c r="D81" s="42" t="s">
        <v>339</v>
      </c>
      <c r="E81" s="43">
        <v>44805</v>
      </c>
      <c r="F81" s="43">
        <v>45413</v>
      </c>
      <c r="G81" s="42" t="s">
        <v>42</v>
      </c>
      <c r="H81" s="44">
        <v>2.9</v>
      </c>
      <c r="I81" s="44">
        <v>3</v>
      </c>
      <c r="J81" s="42" t="s">
        <v>111</v>
      </c>
      <c r="K81" s="42" t="s">
        <v>340</v>
      </c>
      <c r="L81" s="42" t="s">
        <v>38</v>
      </c>
    </row>
    <row r="82" spans="2:12" ht="72.75" hidden="1" thickBot="1" x14ac:dyDescent="0.3">
      <c r="B82" s="41" t="s">
        <v>341</v>
      </c>
      <c r="C82" s="42" t="s">
        <v>342</v>
      </c>
      <c r="D82" s="42" t="s">
        <v>343</v>
      </c>
      <c r="E82" s="43">
        <v>45292</v>
      </c>
      <c r="F82" s="43">
        <v>45413</v>
      </c>
      <c r="G82" s="42" t="s">
        <v>42</v>
      </c>
      <c r="H82" s="44">
        <v>3</v>
      </c>
      <c r="I82" s="44">
        <v>3</v>
      </c>
      <c r="J82" s="42" t="s">
        <v>316</v>
      </c>
      <c r="K82" s="42" t="s">
        <v>344</v>
      </c>
      <c r="L82" s="42" t="s">
        <v>38</v>
      </c>
    </row>
    <row r="83" spans="2:12" ht="48.75" thickBot="1" x14ac:dyDescent="0.3">
      <c r="B83" s="41" t="s">
        <v>345</v>
      </c>
      <c r="C83" s="42" t="s">
        <v>346</v>
      </c>
      <c r="D83" s="42" t="s">
        <v>347</v>
      </c>
      <c r="E83" s="43">
        <v>45261</v>
      </c>
      <c r="F83" s="43">
        <v>45413</v>
      </c>
      <c r="G83" s="42" t="s">
        <v>42</v>
      </c>
      <c r="H83" s="44">
        <v>9</v>
      </c>
      <c r="I83" s="44">
        <v>11.2</v>
      </c>
      <c r="J83" s="42" t="s">
        <v>134</v>
      </c>
      <c r="K83" s="42" t="s">
        <v>348</v>
      </c>
      <c r="L83" s="42" t="s">
        <v>33</v>
      </c>
    </row>
    <row r="84" spans="2:12" ht="72.75" hidden="1" thickBot="1" x14ac:dyDescent="0.3">
      <c r="B84" s="41" t="s">
        <v>349</v>
      </c>
      <c r="C84" s="42" t="s">
        <v>40</v>
      </c>
      <c r="D84" s="42" t="s">
        <v>350</v>
      </c>
      <c r="E84" s="43">
        <v>45413</v>
      </c>
      <c r="F84" s="43">
        <v>45413</v>
      </c>
      <c r="G84" s="42" t="s">
        <v>42</v>
      </c>
      <c r="H84" s="44">
        <v>0.9</v>
      </c>
      <c r="I84" s="44">
        <v>1.1000000000000001</v>
      </c>
      <c r="J84" s="42" t="s">
        <v>73</v>
      </c>
      <c r="K84" s="42" t="s">
        <v>351</v>
      </c>
      <c r="L84" s="42" t="s">
        <v>38</v>
      </c>
    </row>
    <row r="85" spans="2:12" ht="72.75" hidden="1" thickBot="1" x14ac:dyDescent="0.3">
      <c r="B85" s="41" t="s">
        <v>352</v>
      </c>
      <c r="C85" s="42" t="s">
        <v>353</v>
      </c>
      <c r="D85" s="42" t="s">
        <v>354</v>
      </c>
      <c r="E85" s="43">
        <v>45231</v>
      </c>
      <c r="F85" s="43">
        <v>45444</v>
      </c>
      <c r="G85" s="42" t="s">
        <v>42</v>
      </c>
      <c r="H85" s="44">
        <v>9</v>
      </c>
      <c r="I85" s="44">
        <v>11</v>
      </c>
      <c r="J85" s="42" t="s">
        <v>43</v>
      </c>
      <c r="K85" s="42" t="s">
        <v>355</v>
      </c>
      <c r="L85" s="42" t="s">
        <v>38</v>
      </c>
    </row>
    <row r="86" spans="2:12" ht="72.75" hidden="1" thickBot="1" x14ac:dyDescent="0.3">
      <c r="B86" s="41" t="s">
        <v>356</v>
      </c>
      <c r="C86" s="42" t="s">
        <v>357</v>
      </c>
      <c r="D86" s="42" t="s">
        <v>110</v>
      </c>
      <c r="E86" s="43">
        <v>45444</v>
      </c>
      <c r="F86" s="43">
        <v>45444</v>
      </c>
      <c r="G86" s="42" t="s">
        <v>42</v>
      </c>
      <c r="H86" s="44">
        <v>9</v>
      </c>
      <c r="I86" s="44">
        <v>11.3</v>
      </c>
      <c r="J86" s="42" t="s">
        <v>134</v>
      </c>
      <c r="K86" s="42" t="s">
        <v>358</v>
      </c>
      <c r="L86" s="42" t="s">
        <v>359</v>
      </c>
    </row>
    <row r="87" spans="2:12" ht="72.75" hidden="1" thickBot="1" x14ac:dyDescent="0.3">
      <c r="B87" s="41" t="s">
        <v>360</v>
      </c>
      <c r="C87" s="42" t="s">
        <v>361</v>
      </c>
      <c r="D87" s="42" t="s">
        <v>362</v>
      </c>
      <c r="E87" s="43">
        <v>45474</v>
      </c>
      <c r="F87" s="43">
        <v>45474</v>
      </c>
      <c r="G87" s="42" t="s">
        <v>106</v>
      </c>
      <c r="H87" s="44">
        <v>6.8</v>
      </c>
      <c r="I87" s="44">
        <v>7.1</v>
      </c>
      <c r="J87" s="42" t="s">
        <v>68</v>
      </c>
      <c r="K87" s="42" t="s">
        <v>363</v>
      </c>
      <c r="L87" s="42" t="s">
        <v>38</v>
      </c>
    </row>
    <row r="88" spans="2:12" ht="48.75" thickBot="1" x14ac:dyDescent="0.3">
      <c r="B88" s="41" t="s">
        <v>364</v>
      </c>
      <c r="C88" s="42" t="s">
        <v>365</v>
      </c>
      <c r="D88" s="42" t="s">
        <v>366</v>
      </c>
      <c r="E88" s="43">
        <v>45474</v>
      </c>
      <c r="F88" s="43">
        <v>45474</v>
      </c>
      <c r="G88" s="42" t="s">
        <v>30</v>
      </c>
      <c r="H88" s="44">
        <v>9</v>
      </c>
      <c r="I88" s="44">
        <v>11.1</v>
      </c>
      <c r="J88" s="42" t="s">
        <v>31</v>
      </c>
      <c r="K88" s="42" t="s">
        <v>367</v>
      </c>
      <c r="L88" s="42" t="s">
        <v>54</v>
      </c>
    </row>
    <row r="89" spans="2:12" ht="48.75" thickBot="1" x14ac:dyDescent="0.3">
      <c r="B89" s="41" t="s">
        <v>368</v>
      </c>
      <c r="C89" s="42" t="s">
        <v>369</v>
      </c>
      <c r="D89" s="42" t="s">
        <v>370</v>
      </c>
      <c r="E89" s="43">
        <v>45474</v>
      </c>
      <c r="F89" s="43">
        <v>45474</v>
      </c>
      <c r="G89" s="42" t="s">
        <v>30</v>
      </c>
      <c r="H89" s="44">
        <v>9</v>
      </c>
      <c r="I89" s="44">
        <v>11.1</v>
      </c>
      <c r="J89" s="42" t="s">
        <v>31</v>
      </c>
      <c r="K89" s="42" t="s">
        <v>367</v>
      </c>
      <c r="L89" s="42" t="s">
        <v>33</v>
      </c>
    </row>
    <row r="90" spans="2:12" ht="72.75" hidden="1" thickBot="1" x14ac:dyDescent="0.3">
      <c r="B90" s="41" t="s">
        <v>374</v>
      </c>
      <c r="C90" s="42" t="s">
        <v>91</v>
      </c>
      <c r="D90" s="42" t="s">
        <v>375</v>
      </c>
      <c r="E90" s="43">
        <v>45474</v>
      </c>
      <c r="F90" s="43">
        <v>45474</v>
      </c>
      <c r="G90" s="42" t="s">
        <v>93</v>
      </c>
      <c r="H90" s="44">
        <v>2.9</v>
      </c>
      <c r="I90" s="44">
        <v>2.9</v>
      </c>
      <c r="J90" s="42" t="s">
        <v>111</v>
      </c>
      <c r="K90" s="42" t="s">
        <v>376</v>
      </c>
      <c r="L90" s="42" t="s">
        <v>38</v>
      </c>
    </row>
    <row r="91" spans="2:12" ht="72.75" hidden="1" thickBot="1" x14ac:dyDescent="0.3">
      <c r="B91" s="41" t="s">
        <v>377</v>
      </c>
      <c r="C91" s="42" t="s">
        <v>378</v>
      </c>
      <c r="D91" s="42" t="s">
        <v>379</v>
      </c>
      <c r="E91" s="43">
        <v>44621</v>
      </c>
      <c r="F91" s="43">
        <v>45536</v>
      </c>
      <c r="G91" s="42" t="s">
        <v>42</v>
      </c>
      <c r="H91" s="44">
        <v>3</v>
      </c>
      <c r="I91" s="44">
        <v>3</v>
      </c>
      <c r="J91" s="42" t="s">
        <v>73</v>
      </c>
      <c r="K91" s="42" t="s">
        <v>380</v>
      </c>
      <c r="L91" s="42" t="s">
        <v>38</v>
      </c>
    </row>
    <row r="92" spans="2:12" ht="72.75" hidden="1" thickBot="1" x14ac:dyDescent="0.3">
      <c r="B92" s="41" t="s">
        <v>381</v>
      </c>
      <c r="C92" s="42" t="s">
        <v>382</v>
      </c>
      <c r="D92" s="42" t="s">
        <v>383</v>
      </c>
      <c r="E92" s="43">
        <v>45536</v>
      </c>
      <c r="F92" s="43">
        <v>45536</v>
      </c>
      <c r="G92" s="42" t="s">
        <v>42</v>
      </c>
      <c r="H92" s="44">
        <v>8.1</v>
      </c>
      <c r="I92" s="44">
        <v>9.8000000000000007</v>
      </c>
      <c r="J92" s="42" t="s">
        <v>384</v>
      </c>
      <c r="K92" s="42" t="s">
        <v>385</v>
      </c>
      <c r="L92" s="42" t="s">
        <v>38</v>
      </c>
    </row>
    <row r="93" spans="2:12" ht="72.75" hidden="1" thickBot="1" x14ac:dyDescent="0.3">
      <c r="B93" s="41" t="s">
        <v>386</v>
      </c>
      <c r="C93" s="42" t="s">
        <v>387</v>
      </c>
      <c r="D93" s="42" t="s">
        <v>388</v>
      </c>
      <c r="E93" s="43">
        <v>45536</v>
      </c>
      <c r="F93" s="43">
        <v>45536</v>
      </c>
      <c r="G93" s="42" t="s">
        <v>42</v>
      </c>
      <c r="H93" s="44">
        <v>9</v>
      </c>
      <c r="I93" s="44">
        <v>10.8</v>
      </c>
      <c r="J93" s="42" t="s">
        <v>384</v>
      </c>
      <c r="K93" s="42" t="s">
        <v>389</v>
      </c>
      <c r="L93" s="42" t="s">
        <v>38</v>
      </c>
    </row>
    <row r="94" spans="2:12" ht="48.75" thickBot="1" x14ac:dyDescent="0.3">
      <c r="B94" s="41" t="s">
        <v>390</v>
      </c>
      <c r="C94" s="42" t="s">
        <v>391</v>
      </c>
      <c r="D94" s="42" t="s">
        <v>392</v>
      </c>
      <c r="E94" s="43">
        <v>45200</v>
      </c>
      <c r="F94" s="43">
        <v>45536</v>
      </c>
      <c r="G94" s="42" t="s">
        <v>42</v>
      </c>
      <c r="H94" s="44">
        <v>9</v>
      </c>
      <c r="I94" s="44">
        <v>11</v>
      </c>
      <c r="J94" s="42" t="s">
        <v>73</v>
      </c>
      <c r="K94" s="42" t="s">
        <v>393</v>
      </c>
      <c r="L94" s="42" t="s">
        <v>33</v>
      </c>
    </row>
    <row r="95" spans="2:12" ht="72.75" hidden="1" thickBot="1" x14ac:dyDescent="0.3">
      <c r="B95" s="41" t="s">
        <v>394</v>
      </c>
      <c r="C95" s="42" t="s">
        <v>395</v>
      </c>
      <c r="D95" s="42" t="s">
        <v>110</v>
      </c>
      <c r="E95" s="43">
        <v>45383</v>
      </c>
      <c r="F95" s="43">
        <v>45544</v>
      </c>
      <c r="G95" s="42" t="s">
        <v>42</v>
      </c>
      <c r="H95" s="44">
        <v>9</v>
      </c>
      <c r="I95" s="44">
        <v>11</v>
      </c>
      <c r="J95" s="42" t="s">
        <v>316</v>
      </c>
      <c r="K95" s="42" t="s">
        <v>396</v>
      </c>
      <c r="L95" s="42" t="s">
        <v>38</v>
      </c>
    </row>
    <row r="96" spans="2:12" ht="72.75" hidden="1" thickBot="1" x14ac:dyDescent="0.3">
      <c r="B96" s="41" t="s">
        <v>397</v>
      </c>
      <c r="C96" s="42" t="s">
        <v>398</v>
      </c>
      <c r="D96" s="42" t="s">
        <v>399</v>
      </c>
      <c r="E96" s="43">
        <v>44986</v>
      </c>
      <c r="F96" s="43">
        <v>45627</v>
      </c>
      <c r="G96" s="42" t="s">
        <v>42</v>
      </c>
      <c r="H96" s="44">
        <v>3</v>
      </c>
      <c r="I96" s="44">
        <v>3.9</v>
      </c>
      <c r="J96" s="42" t="s">
        <v>206</v>
      </c>
      <c r="K96" s="42" t="s">
        <v>400</v>
      </c>
      <c r="L96" s="42" t="s">
        <v>38</v>
      </c>
    </row>
    <row r="97" spans="2:12" ht="72.75" hidden="1" thickBot="1" x14ac:dyDescent="0.3">
      <c r="B97" s="41" t="s">
        <v>401</v>
      </c>
      <c r="C97" s="42" t="s">
        <v>402</v>
      </c>
      <c r="D97" s="42" t="s">
        <v>128</v>
      </c>
      <c r="E97" s="43">
        <v>45078</v>
      </c>
      <c r="F97" s="43">
        <v>45627</v>
      </c>
      <c r="G97" s="42" t="s">
        <v>42</v>
      </c>
      <c r="H97" s="44">
        <v>0.9</v>
      </c>
      <c r="I97" s="44">
        <v>1.2</v>
      </c>
      <c r="J97" s="42" t="s">
        <v>43</v>
      </c>
      <c r="K97" s="42" t="s">
        <v>403</v>
      </c>
      <c r="L97" s="42" t="s">
        <v>38</v>
      </c>
    </row>
    <row r="98" spans="2:12" ht="72.75" hidden="1" thickBot="1" x14ac:dyDescent="0.3">
      <c r="B98" s="41" t="s">
        <v>404</v>
      </c>
      <c r="C98" s="42" t="s">
        <v>405</v>
      </c>
      <c r="D98" s="42" t="s">
        <v>406</v>
      </c>
      <c r="E98" s="43">
        <v>45047</v>
      </c>
      <c r="F98" s="43">
        <v>45627</v>
      </c>
      <c r="G98" s="42" t="s">
        <v>42</v>
      </c>
      <c r="H98" s="44">
        <v>3</v>
      </c>
      <c r="I98" s="44">
        <v>3</v>
      </c>
      <c r="J98" s="42" t="s">
        <v>48</v>
      </c>
      <c r="K98" s="42" t="s">
        <v>407</v>
      </c>
      <c r="L98" s="42" t="s">
        <v>38</v>
      </c>
    </row>
    <row r="99" spans="2:12" ht="72.75" hidden="1" thickBot="1" x14ac:dyDescent="0.3">
      <c r="B99" s="41" t="s">
        <v>412</v>
      </c>
      <c r="C99" s="42" t="s">
        <v>413</v>
      </c>
      <c r="D99" s="42" t="s">
        <v>414</v>
      </c>
      <c r="E99" s="43">
        <v>45047</v>
      </c>
      <c r="F99" s="43">
        <v>45658</v>
      </c>
      <c r="G99" s="42" t="s">
        <v>42</v>
      </c>
      <c r="H99" s="44">
        <v>3</v>
      </c>
      <c r="I99" s="44">
        <v>3</v>
      </c>
      <c r="J99" s="42" t="s">
        <v>73</v>
      </c>
      <c r="K99" s="42" t="s">
        <v>415</v>
      </c>
      <c r="L99" s="42" t="s">
        <v>38</v>
      </c>
    </row>
    <row r="100" spans="2:12" ht="48.75" thickBot="1" x14ac:dyDescent="0.3">
      <c r="B100" s="41" t="s">
        <v>416</v>
      </c>
      <c r="C100" s="42" t="s">
        <v>417</v>
      </c>
      <c r="D100" s="42" t="s">
        <v>418</v>
      </c>
      <c r="E100" s="43">
        <v>45658</v>
      </c>
      <c r="F100" s="43">
        <v>45658</v>
      </c>
      <c r="G100" s="42" t="s">
        <v>30</v>
      </c>
      <c r="H100" s="44">
        <v>3</v>
      </c>
      <c r="I100" s="44">
        <v>3</v>
      </c>
      <c r="J100" s="42" t="s">
        <v>31</v>
      </c>
      <c r="K100" s="42" t="s">
        <v>37</v>
      </c>
      <c r="L100" s="42" t="s">
        <v>33</v>
      </c>
    </row>
    <row r="101" spans="2:12" ht="48.75" thickBot="1" x14ac:dyDescent="0.3">
      <c r="B101" s="41" t="s">
        <v>419</v>
      </c>
      <c r="C101" s="42" t="s">
        <v>420</v>
      </c>
      <c r="D101" s="42" t="s">
        <v>421</v>
      </c>
      <c r="E101" s="43">
        <v>45689</v>
      </c>
      <c r="F101" s="43">
        <v>45689</v>
      </c>
      <c r="G101" s="42" t="s">
        <v>42</v>
      </c>
      <c r="H101" s="44">
        <v>9</v>
      </c>
      <c r="I101" s="44">
        <v>10.8</v>
      </c>
      <c r="J101" s="42" t="s">
        <v>129</v>
      </c>
      <c r="K101" s="42" t="s">
        <v>422</v>
      </c>
      <c r="L101" s="42" t="s">
        <v>33</v>
      </c>
    </row>
    <row r="102" spans="2:12" ht="72.75" hidden="1" thickBot="1" x14ac:dyDescent="0.3">
      <c r="B102" s="41" t="s">
        <v>423</v>
      </c>
      <c r="C102" s="42" t="s">
        <v>424</v>
      </c>
      <c r="D102" s="42" t="s">
        <v>425</v>
      </c>
      <c r="E102" s="43">
        <v>44105</v>
      </c>
      <c r="F102" s="43">
        <v>45717</v>
      </c>
      <c r="G102" s="42" t="s">
        <v>93</v>
      </c>
      <c r="H102" s="44">
        <v>1.6</v>
      </c>
      <c r="I102" s="44">
        <v>1.6</v>
      </c>
      <c r="J102" s="42" t="s">
        <v>332</v>
      </c>
      <c r="K102" s="42" t="s">
        <v>426</v>
      </c>
      <c r="L102" s="42" t="s">
        <v>38</v>
      </c>
    </row>
    <row r="103" spans="2:12" ht="72.75" hidden="1" thickBot="1" x14ac:dyDescent="0.3">
      <c r="B103" s="41" t="s">
        <v>427</v>
      </c>
      <c r="C103" s="42" t="s">
        <v>428</v>
      </c>
      <c r="D103" s="42" t="s">
        <v>110</v>
      </c>
      <c r="E103" s="43">
        <v>44927</v>
      </c>
      <c r="F103" s="43">
        <v>45717</v>
      </c>
      <c r="G103" s="42" t="s">
        <v>42</v>
      </c>
      <c r="H103" s="44">
        <v>4</v>
      </c>
      <c r="I103" s="44">
        <v>5</v>
      </c>
      <c r="J103" s="42" t="s">
        <v>129</v>
      </c>
      <c r="K103" s="42" t="s">
        <v>429</v>
      </c>
      <c r="L103" s="42" t="s">
        <v>38</v>
      </c>
    </row>
    <row r="104" spans="2:12" ht="72.75" hidden="1" thickBot="1" x14ac:dyDescent="0.3">
      <c r="B104" s="41" t="s">
        <v>434</v>
      </c>
      <c r="C104" s="42" t="s">
        <v>435</v>
      </c>
      <c r="D104" s="42" t="s">
        <v>436</v>
      </c>
      <c r="E104" s="43">
        <v>45717</v>
      </c>
      <c r="F104" s="43">
        <v>45717</v>
      </c>
      <c r="G104" s="42" t="s">
        <v>42</v>
      </c>
      <c r="H104" s="44">
        <v>9</v>
      </c>
      <c r="I104" s="44">
        <v>11</v>
      </c>
      <c r="J104" s="42" t="s">
        <v>206</v>
      </c>
      <c r="K104" s="42" t="s">
        <v>437</v>
      </c>
      <c r="L104" s="42" t="s">
        <v>38</v>
      </c>
    </row>
    <row r="105" spans="2:12" ht="48.75" thickBot="1" x14ac:dyDescent="0.3">
      <c r="B105" s="41" t="s">
        <v>438</v>
      </c>
      <c r="C105" s="42" t="s">
        <v>439</v>
      </c>
      <c r="D105" s="42" t="s">
        <v>110</v>
      </c>
      <c r="E105" s="43">
        <v>45717</v>
      </c>
      <c r="F105" s="43">
        <v>45717</v>
      </c>
      <c r="G105" s="42" t="s">
        <v>42</v>
      </c>
      <c r="H105" s="44">
        <v>9</v>
      </c>
      <c r="I105" s="44">
        <v>11.2</v>
      </c>
      <c r="J105" s="42" t="s">
        <v>43</v>
      </c>
      <c r="K105" s="42" t="s">
        <v>440</v>
      </c>
      <c r="L105" s="42" t="s">
        <v>54</v>
      </c>
    </row>
    <row r="106" spans="2:12" ht="72.75" hidden="1" thickBot="1" x14ac:dyDescent="0.3">
      <c r="B106" s="41" t="s">
        <v>441</v>
      </c>
      <c r="C106" s="42" t="s">
        <v>442</v>
      </c>
      <c r="D106" s="42" t="s">
        <v>443</v>
      </c>
      <c r="E106" s="43">
        <v>44805</v>
      </c>
      <c r="F106" s="43">
        <v>45748</v>
      </c>
      <c r="G106" s="42" t="s">
        <v>42</v>
      </c>
      <c r="H106" s="44">
        <v>3</v>
      </c>
      <c r="I106" s="44">
        <v>3</v>
      </c>
      <c r="J106" s="42" t="s">
        <v>52</v>
      </c>
      <c r="K106" s="42" t="s">
        <v>444</v>
      </c>
      <c r="L106" s="42" t="s">
        <v>38</v>
      </c>
    </row>
    <row r="107" spans="2:12" ht="72.75" hidden="1" thickBot="1" x14ac:dyDescent="0.3">
      <c r="B107" s="41" t="s">
        <v>449</v>
      </c>
      <c r="C107" s="42" t="s">
        <v>450</v>
      </c>
      <c r="D107" s="42" t="s">
        <v>451</v>
      </c>
      <c r="E107" s="43">
        <v>45778</v>
      </c>
      <c r="F107" s="43">
        <v>45778</v>
      </c>
      <c r="G107" s="42" t="s">
        <v>42</v>
      </c>
      <c r="H107" s="44">
        <v>9</v>
      </c>
      <c r="I107" s="44">
        <v>11.3</v>
      </c>
      <c r="J107" s="42" t="s">
        <v>134</v>
      </c>
      <c r="K107" s="42" t="s">
        <v>452</v>
      </c>
      <c r="L107" s="42" t="s">
        <v>359</v>
      </c>
    </row>
    <row r="108" spans="2:12" ht="72.75" hidden="1" thickBot="1" x14ac:dyDescent="0.3">
      <c r="B108" s="41" t="s">
        <v>453</v>
      </c>
      <c r="C108" s="42" t="s">
        <v>454</v>
      </c>
      <c r="D108" s="42" t="s">
        <v>455</v>
      </c>
      <c r="E108" s="43">
        <v>45078</v>
      </c>
      <c r="F108" s="43">
        <v>45809</v>
      </c>
      <c r="G108" s="42" t="s">
        <v>42</v>
      </c>
      <c r="H108" s="44">
        <v>9</v>
      </c>
      <c r="I108" s="44">
        <v>10.8</v>
      </c>
      <c r="J108" s="42" t="s">
        <v>68</v>
      </c>
      <c r="K108" s="42" t="s">
        <v>456</v>
      </c>
      <c r="L108" s="42" t="s">
        <v>38</v>
      </c>
    </row>
    <row r="109" spans="2:12" ht="72.75" hidden="1" thickBot="1" x14ac:dyDescent="0.3">
      <c r="B109" s="41" t="s">
        <v>457</v>
      </c>
      <c r="C109" s="42" t="s">
        <v>458</v>
      </c>
      <c r="D109" s="42" t="s">
        <v>110</v>
      </c>
      <c r="E109" s="43">
        <v>45292</v>
      </c>
      <c r="F109" s="43">
        <v>45809</v>
      </c>
      <c r="G109" s="42" t="s">
        <v>42</v>
      </c>
      <c r="H109" s="44">
        <v>9</v>
      </c>
      <c r="I109" s="44">
        <v>12.5</v>
      </c>
      <c r="J109" s="42" t="s">
        <v>159</v>
      </c>
      <c r="K109" s="42" t="s">
        <v>459</v>
      </c>
      <c r="L109" s="42" t="s">
        <v>38</v>
      </c>
    </row>
    <row r="110" spans="2:12" ht="48.75" thickBot="1" x14ac:dyDescent="0.3">
      <c r="B110" s="41" t="s">
        <v>465</v>
      </c>
      <c r="C110" s="42" t="s">
        <v>466</v>
      </c>
      <c r="D110" s="42" t="s">
        <v>467</v>
      </c>
      <c r="E110" s="43">
        <v>45809</v>
      </c>
      <c r="F110" s="43">
        <v>45809</v>
      </c>
      <c r="G110" s="42" t="s">
        <v>42</v>
      </c>
      <c r="H110" s="44">
        <v>9</v>
      </c>
      <c r="I110" s="44">
        <v>11.3</v>
      </c>
      <c r="J110" s="42" t="s">
        <v>159</v>
      </c>
      <c r="K110" s="42" t="s">
        <v>468</v>
      </c>
      <c r="L110" s="42" t="s">
        <v>33</v>
      </c>
    </row>
    <row r="111" spans="2:12" ht="72.75" hidden="1" thickBot="1" x14ac:dyDescent="0.3">
      <c r="B111" s="41" t="s">
        <v>469</v>
      </c>
      <c r="C111" s="42" t="s">
        <v>470</v>
      </c>
      <c r="D111" s="42" t="s">
        <v>471</v>
      </c>
      <c r="E111" s="43">
        <v>45261</v>
      </c>
      <c r="F111" s="43">
        <v>45839</v>
      </c>
      <c r="G111" s="42" t="s">
        <v>42</v>
      </c>
      <c r="H111" s="44">
        <v>9</v>
      </c>
      <c r="I111" s="44">
        <v>12</v>
      </c>
      <c r="J111" s="42" t="s">
        <v>68</v>
      </c>
      <c r="K111" s="42" t="s">
        <v>472</v>
      </c>
      <c r="L111" s="42" t="s">
        <v>38</v>
      </c>
    </row>
    <row r="112" spans="2:12" ht="72.75" hidden="1" thickBot="1" x14ac:dyDescent="0.3">
      <c r="B112" s="41" t="s">
        <v>473</v>
      </c>
      <c r="C112" s="42" t="s">
        <v>474</v>
      </c>
      <c r="D112" s="42" t="s">
        <v>475</v>
      </c>
      <c r="E112" s="43">
        <v>45200</v>
      </c>
      <c r="F112" s="43">
        <v>45839</v>
      </c>
      <c r="G112" s="42" t="s">
        <v>42</v>
      </c>
      <c r="H112" s="44">
        <v>9</v>
      </c>
      <c r="I112" s="44">
        <v>10.7</v>
      </c>
      <c r="J112" s="42" t="s">
        <v>111</v>
      </c>
      <c r="K112" s="42" t="s">
        <v>476</v>
      </c>
      <c r="L112" s="42" t="s">
        <v>38</v>
      </c>
    </row>
    <row r="113" spans="2:12" ht="72.75" hidden="1" thickBot="1" x14ac:dyDescent="0.3">
      <c r="B113" s="41" t="s">
        <v>477</v>
      </c>
      <c r="C113" s="42" t="s">
        <v>478</v>
      </c>
      <c r="D113" s="42" t="s">
        <v>110</v>
      </c>
      <c r="E113" s="43">
        <v>45108</v>
      </c>
      <c r="F113" s="43">
        <v>45839</v>
      </c>
      <c r="G113" s="42" t="s">
        <v>42</v>
      </c>
      <c r="H113" s="44">
        <v>6</v>
      </c>
      <c r="I113" s="44">
        <v>7.2</v>
      </c>
      <c r="J113" s="42" t="s">
        <v>73</v>
      </c>
      <c r="K113" s="42" t="s">
        <v>479</v>
      </c>
      <c r="L113" s="42" t="s">
        <v>38</v>
      </c>
    </row>
    <row r="114" spans="2:12" ht="72.75" hidden="1" thickBot="1" x14ac:dyDescent="0.3">
      <c r="B114" s="41" t="s">
        <v>480</v>
      </c>
      <c r="C114" s="42" t="s">
        <v>481</v>
      </c>
      <c r="D114" s="42" t="s">
        <v>482</v>
      </c>
      <c r="E114" s="43">
        <v>44866</v>
      </c>
      <c r="F114" s="43">
        <v>45839</v>
      </c>
      <c r="G114" s="42" t="s">
        <v>42</v>
      </c>
      <c r="H114" s="44">
        <v>9</v>
      </c>
      <c r="I114" s="44">
        <v>10.199999999999999</v>
      </c>
      <c r="J114" s="42" t="s">
        <v>206</v>
      </c>
      <c r="K114" s="42" t="s">
        <v>483</v>
      </c>
      <c r="L114" s="42" t="s">
        <v>38</v>
      </c>
    </row>
    <row r="115" spans="2:12" ht="72.75" hidden="1" thickBot="1" x14ac:dyDescent="0.3">
      <c r="B115" s="41" t="s">
        <v>274</v>
      </c>
      <c r="C115" s="42" t="s">
        <v>275</v>
      </c>
      <c r="D115" s="42" t="s">
        <v>110</v>
      </c>
      <c r="E115" s="43">
        <v>45108</v>
      </c>
      <c r="F115" s="43">
        <v>45870</v>
      </c>
      <c r="G115" s="42" t="s">
        <v>42</v>
      </c>
      <c r="H115" s="44">
        <v>6</v>
      </c>
      <c r="I115" s="44">
        <v>6.4</v>
      </c>
      <c r="J115" s="42" t="s">
        <v>43</v>
      </c>
      <c r="K115" s="42" t="s">
        <v>276</v>
      </c>
      <c r="L115" s="42" t="s">
        <v>38</v>
      </c>
    </row>
    <row r="116" spans="2:12" ht="48.75" thickBot="1" x14ac:dyDescent="0.3">
      <c r="B116" s="41" t="s">
        <v>492</v>
      </c>
      <c r="C116" s="42" t="s">
        <v>493</v>
      </c>
      <c r="D116" s="42" t="s">
        <v>110</v>
      </c>
      <c r="E116" s="43">
        <v>45870</v>
      </c>
      <c r="F116" s="43">
        <v>45870</v>
      </c>
      <c r="G116" s="42" t="s">
        <v>42</v>
      </c>
      <c r="H116" s="44">
        <v>9</v>
      </c>
      <c r="I116" s="44">
        <v>10.9</v>
      </c>
      <c r="J116" s="42" t="s">
        <v>43</v>
      </c>
      <c r="K116" s="42" t="s">
        <v>440</v>
      </c>
      <c r="L116" s="42" t="s">
        <v>33</v>
      </c>
    </row>
    <row r="117" spans="2:12" ht="60.75" hidden="1" thickBot="1" x14ac:dyDescent="0.3">
      <c r="B117" s="41" t="s">
        <v>204</v>
      </c>
      <c r="C117" s="42" t="s">
        <v>205</v>
      </c>
      <c r="D117" s="42" t="s">
        <v>128</v>
      </c>
      <c r="E117" s="43">
        <v>44986</v>
      </c>
      <c r="F117" s="43">
        <v>45901</v>
      </c>
      <c r="G117" s="42" t="s">
        <v>42</v>
      </c>
      <c r="H117" s="44">
        <v>9</v>
      </c>
      <c r="I117" s="44">
        <v>10.3</v>
      </c>
      <c r="J117" s="42" t="s">
        <v>206</v>
      </c>
      <c r="K117" s="42" t="s">
        <v>207</v>
      </c>
      <c r="L117" s="42"/>
    </row>
    <row r="118" spans="2:12" ht="36.75" hidden="1" thickBot="1" x14ac:dyDescent="0.3">
      <c r="B118" s="41" t="s">
        <v>277</v>
      </c>
      <c r="C118" s="42" t="s">
        <v>278</v>
      </c>
      <c r="D118" s="42" t="s">
        <v>279</v>
      </c>
      <c r="E118" s="43">
        <v>45200</v>
      </c>
      <c r="F118" s="43">
        <v>45901</v>
      </c>
      <c r="G118" s="42" t="s">
        <v>42</v>
      </c>
      <c r="H118" s="44">
        <v>9</v>
      </c>
      <c r="I118" s="44">
        <v>10.5</v>
      </c>
      <c r="J118" s="42" t="s">
        <v>73</v>
      </c>
      <c r="K118" s="42" t="s">
        <v>280</v>
      </c>
      <c r="L118" s="42"/>
    </row>
    <row r="119" spans="2:12" ht="48.75" hidden="1" thickBot="1" x14ac:dyDescent="0.3">
      <c r="B119" s="41" t="s">
        <v>430</v>
      </c>
      <c r="C119" s="42" t="s">
        <v>431</v>
      </c>
      <c r="D119" s="42" t="s">
        <v>432</v>
      </c>
      <c r="E119" s="43">
        <v>45108</v>
      </c>
      <c r="F119" s="43">
        <v>45901</v>
      </c>
      <c r="G119" s="42" t="s">
        <v>42</v>
      </c>
      <c r="H119" s="44">
        <v>9</v>
      </c>
      <c r="I119" s="44">
        <v>10.8</v>
      </c>
      <c r="J119" s="42" t="s">
        <v>111</v>
      </c>
      <c r="K119" s="42" t="s">
        <v>433</v>
      </c>
      <c r="L119" s="42"/>
    </row>
    <row r="120" spans="2:12" ht="36.75" hidden="1" thickBot="1" x14ac:dyDescent="0.3">
      <c r="B120" s="41" t="s">
        <v>499</v>
      </c>
      <c r="C120" s="42" t="s">
        <v>500</v>
      </c>
      <c r="D120" s="42" t="s">
        <v>501</v>
      </c>
      <c r="E120" s="43">
        <v>45170</v>
      </c>
      <c r="F120" s="43">
        <v>45901</v>
      </c>
      <c r="G120" s="42" t="s">
        <v>42</v>
      </c>
      <c r="H120" s="44">
        <v>6</v>
      </c>
      <c r="I120" s="44">
        <v>7.5</v>
      </c>
      <c r="J120" s="42" t="s">
        <v>316</v>
      </c>
      <c r="K120" s="42" t="s">
        <v>502</v>
      </c>
      <c r="L120" s="45"/>
    </row>
    <row r="121" spans="2:12" ht="48.75" hidden="1" thickBot="1" x14ac:dyDescent="0.3">
      <c r="B121" s="41" t="s">
        <v>108</v>
      </c>
      <c r="C121" s="42" t="s">
        <v>109</v>
      </c>
      <c r="D121" s="42" t="s">
        <v>110</v>
      </c>
      <c r="E121" s="43">
        <v>44986</v>
      </c>
      <c r="F121" s="43">
        <v>45931</v>
      </c>
      <c r="G121" s="42" t="s">
        <v>42</v>
      </c>
      <c r="H121" s="44">
        <v>3</v>
      </c>
      <c r="I121" s="44">
        <v>3</v>
      </c>
      <c r="J121" s="42" t="s">
        <v>111</v>
      </c>
      <c r="K121" s="42" t="s">
        <v>112</v>
      </c>
      <c r="L121" s="42"/>
    </row>
    <row r="122" spans="2:12" ht="48.75" hidden="1" thickBot="1" x14ac:dyDescent="0.3">
      <c r="B122" s="41" t="s">
        <v>503</v>
      </c>
      <c r="C122" s="42" t="s">
        <v>504</v>
      </c>
      <c r="D122" s="42" t="s">
        <v>505</v>
      </c>
      <c r="E122" s="43">
        <v>45931</v>
      </c>
      <c r="F122" s="43">
        <v>45931</v>
      </c>
      <c r="G122" s="42" t="s">
        <v>93</v>
      </c>
      <c r="H122" s="44">
        <v>3</v>
      </c>
      <c r="I122" s="44">
        <v>3</v>
      </c>
      <c r="J122" s="42" t="s">
        <v>31</v>
      </c>
      <c r="K122" s="42" t="s">
        <v>506</v>
      </c>
      <c r="L122" s="45"/>
    </row>
    <row r="123" spans="2:12" ht="48.75" hidden="1" thickBot="1" x14ac:dyDescent="0.3">
      <c r="B123" s="41" t="s">
        <v>507</v>
      </c>
      <c r="C123" s="42" t="s">
        <v>508</v>
      </c>
      <c r="D123" s="42" t="s">
        <v>509</v>
      </c>
      <c r="E123" s="43">
        <v>45809</v>
      </c>
      <c r="F123" s="43">
        <v>45962</v>
      </c>
      <c r="G123" s="42" t="s">
        <v>42</v>
      </c>
      <c r="H123" s="44">
        <v>4</v>
      </c>
      <c r="I123" s="44">
        <v>5.4</v>
      </c>
      <c r="J123" s="42" t="s">
        <v>43</v>
      </c>
      <c r="K123" s="42" t="s">
        <v>510</v>
      </c>
      <c r="L123" s="45"/>
    </row>
    <row r="124" spans="2:12" ht="36.75" hidden="1" thickBot="1" x14ac:dyDescent="0.3">
      <c r="B124" s="41" t="s">
        <v>1477</v>
      </c>
      <c r="C124" s="42" t="s">
        <v>1478</v>
      </c>
      <c r="D124" s="42" t="s">
        <v>1479</v>
      </c>
      <c r="E124" s="43">
        <v>45962</v>
      </c>
      <c r="F124" s="43">
        <v>45962</v>
      </c>
      <c r="G124" s="42" t="s">
        <v>93</v>
      </c>
      <c r="H124" s="44">
        <v>9</v>
      </c>
      <c r="I124" s="44">
        <v>9</v>
      </c>
      <c r="J124" s="42" t="s">
        <v>31</v>
      </c>
      <c r="K124" s="42" t="s">
        <v>1480</v>
      </c>
      <c r="L124" s="45"/>
    </row>
    <row r="125" spans="2:12" ht="48.75" hidden="1" thickBot="1" x14ac:dyDescent="0.3">
      <c r="B125" s="41" t="s">
        <v>70</v>
      </c>
      <c r="C125" s="42" t="s">
        <v>71</v>
      </c>
      <c r="D125" s="42" t="s">
        <v>72</v>
      </c>
      <c r="E125" s="43">
        <v>44682</v>
      </c>
      <c r="F125" s="43">
        <v>45992</v>
      </c>
      <c r="G125" s="42" t="s">
        <v>42</v>
      </c>
      <c r="H125" s="44">
        <v>6</v>
      </c>
      <c r="I125" s="44">
        <v>7.1</v>
      </c>
      <c r="J125" s="42" t="s">
        <v>73</v>
      </c>
      <c r="K125" s="42" t="s">
        <v>74</v>
      </c>
      <c r="L125" s="42"/>
    </row>
    <row r="126" spans="2:12" ht="36.75" hidden="1" thickBot="1" x14ac:dyDescent="0.3">
      <c r="B126" s="41" t="s">
        <v>408</v>
      </c>
      <c r="C126" s="42" t="s">
        <v>409</v>
      </c>
      <c r="D126" s="42" t="s">
        <v>410</v>
      </c>
      <c r="E126" s="43">
        <v>45047</v>
      </c>
      <c r="F126" s="43">
        <v>45992</v>
      </c>
      <c r="G126" s="42" t="s">
        <v>42</v>
      </c>
      <c r="H126" s="44">
        <v>9</v>
      </c>
      <c r="I126" s="44">
        <v>11</v>
      </c>
      <c r="J126" s="42" t="s">
        <v>43</v>
      </c>
      <c r="K126" s="42" t="s">
        <v>411</v>
      </c>
      <c r="L126" s="42"/>
    </row>
    <row r="127" spans="2:12" ht="36.75" hidden="1" thickBot="1" x14ac:dyDescent="0.3">
      <c r="B127" s="41" t="s">
        <v>460</v>
      </c>
      <c r="C127" s="42" t="s">
        <v>461</v>
      </c>
      <c r="D127" s="42" t="s">
        <v>462</v>
      </c>
      <c r="E127" s="43">
        <v>45017</v>
      </c>
      <c r="F127" s="43">
        <v>45992</v>
      </c>
      <c r="G127" s="42" t="s">
        <v>42</v>
      </c>
      <c r="H127" s="44">
        <v>9</v>
      </c>
      <c r="I127" s="44">
        <v>10.6</v>
      </c>
      <c r="J127" s="42" t="s">
        <v>73</v>
      </c>
      <c r="K127" s="42" t="s">
        <v>463</v>
      </c>
      <c r="L127" s="87" t="s">
        <v>464</v>
      </c>
    </row>
    <row r="128" spans="2:12" ht="36.75" hidden="1" thickBot="1" x14ac:dyDescent="0.3">
      <c r="B128" s="41" t="s">
        <v>511</v>
      </c>
      <c r="C128" s="42" t="s">
        <v>512</v>
      </c>
      <c r="D128" s="42" t="s">
        <v>513</v>
      </c>
      <c r="E128" s="43">
        <v>44896</v>
      </c>
      <c r="F128" s="43">
        <v>45992</v>
      </c>
      <c r="G128" s="42" t="s">
        <v>42</v>
      </c>
      <c r="H128" s="44">
        <v>9</v>
      </c>
      <c r="I128" s="44">
        <v>10.6</v>
      </c>
      <c r="J128" s="42" t="s">
        <v>514</v>
      </c>
      <c r="K128" s="42" t="s">
        <v>515</v>
      </c>
      <c r="L128" s="42"/>
    </row>
    <row r="129" spans="2:12" ht="48.75" thickBot="1" x14ac:dyDescent="0.3">
      <c r="B129" s="41" t="s">
        <v>516</v>
      </c>
      <c r="C129" s="42" t="s">
        <v>517</v>
      </c>
      <c r="D129" s="42" t="s">
        <v>518</v>
      </c>
      <c r="E129" s="43">
        <v>45992</v>
      </c>
      <c r="F129" s="43">
        <v>45992</v>
      </c>
      <c r="G129" s="42" t="s">
        <v>497</v>
      </c>
      <c r="H129" s="44">
        <v>5</v>
      </c>
      <c r="I129" s="44">
        <v>8.9</v>
      </c>
      <c r="J129" s="42" t="s">
        <v>111</v>
      </c>
      <c r="K129" s="42" t="s">
        <v>519</v>
      </c>
      <c r="L129" s="42" t="s">
        <v>33</v>
      </c>
    </row>
    <row r="130" spans="2:12" ht="60.75" hidden="1" thickBot="1" x14ac:dyDescent="0.3">
      <c r="B130" s="41" t="s">
        <v>520</v>
      </c>
      <c r="C130" s="42" t="s">
        <v>521</v>
      </c>
      <c r="D130" s="42" t="s">
        <v>522</v>
      </c>
      <c r="E130" s="43">
        <v>45992</v>
      </c>
      <c r="F130" s="43">
        <v>45992</v>
      </c>
      <c r="G130" s="42" t="s">
        <v>497</v>
      </c>
      <c r="H130" s="44">
        <v>9</v>
      </c>
      <c r="I130" s="44">
        <v>12.5</v>
      </c>
      <c r="J130" s="42" t="s">
        <v>384</v>
      </c>
      <c r="K130" s="42" t="s">
        <v>523</v>
      </c>
      <c r="L130" s="45"/>
    </row>
    <row r="131" spans="2:12" ht="48.75" hidden="1" thickBot="1" x14ac:dyDescent="0.3">
      <c r="B131" s="41" t="s">
        <v>524</v>
      </c>
      <c r="C131" s="42" t="s">
        <v>525</v>
      </c>
      <c r="D131" s="42" t="s">
        <v>526</v>
      </c>
      <c r="E131" s="43">
        <v>45992</v>
      </c>
      <c r="F131" s="43">
        <v>45992</v>
      </c>
      <c r="G131" s="42" t="s">
        <v>42</v>
      </c>
      <c r="H131" s="44">
        <v>8</v>
      </c>
      <c r="I131" s="44">
        <v>9</v>
      </c>
      <c r="J131" s="42" t="s">
        <v>68</v>
      </c>
      <c r="K131" s="42" t="s">
        <v>527</v>
      </c>
      <c r="L131" s="45"/>
    </row>
    <row r="132" spans="2:12" ht="36.75" hidden="1" thickBot="1" x14ac:dyDescent="0.3">
      <c r="B132" s="41" t="s">
        <v>528</v>
      </c>
      <c r="C132" s="42" t="s">
        <v>529</v>
      </c>
      <c r="D132" s="42" t="s">
        <v>530</v>
      </c>
      <c r="E132" s="43">
        <v>45992</v>
      </c>
      <c r="F132" s="43">
        <v>45992</v>
      </c>
      <c r="G132" s="42" t="s">
        <v>93</v>
      </c>
      <c r="H132" s="44">
        <v>3</v>
      </c>
      <c r="I132" s="44">
        <v>3</v>
      </c>
      <c r="J132" s="42" t="s">
        <v>31</v>
      </c>
      <c r="K132" s="42" t="s">
        <v>531</v>
      </c>
      <c r="L132" s="45"/>
    </row>
    <row r="133" spans="2:12" ht="60.75" hidden="1" thickBot="1" x14ac:dyDescent="0.3">
      <c r="B133" s="41" t="s">
        <v>532</v>
      </c>
      <c r="C133" s="42" t="s">
        <v>533</v>
      </c>
      <c r="D133" s="42" t="s">
        <v>534</v>
      </c>
      <c r="E133" s="43">
        <v>45992</v>
      </c>
      <c r="F133" s="43">
        <v>45992</v>
      </c>
      <c r="G133" s="42" t="s">
        <v>497</v>
      </c>
      <c r="H133" s="44">
        <v>9</v>
      </c>
      <c r="I133" s="44">
        <v>11.5</v>
      </c>
      <c r="J133" s="42" t="s">
        <v>384</v>
      </c>
      <c r="K133" s="42" t="s">
        <v>535</v>
      </c>
      <c r="L133" s="45"/>
    </row>
    <row r="134" spans="2:12" ht="48.75" thickBot="1" x14ac:dyDescent="0.3">
      <c r="B134" s="41" t="s">
        <v>536</v>
      </c>
      <c r="C134" s="42" t="s">
        <v>537</v>
      </c>
      <c r="D134" s="42" t="s">
        <v>538</v>
      </c>
      <c r="E134" s="43">
        <v>44896</v>
      </c>
      <c r="F134" s="43">
        <v>46023</v>
      </c>
      <c r="G134" s="42" t="s">
        <v>42</v>
      </c>
      <c r="H134" s="44">
        <v>9</v>
      </c>
      <c r="I134" s="44">
        <v>9.1999999999999993</v>
      </c>
      <c r="J134" s="42" t="s">
        <v>43</v>
      </c>
      <c r="K134" s="42" t="s">
        <v>539</v>
      </c>
      <c r="L134" s="42" t="s">
        <v>54</v>
      </c>
    </row>
    <row r="135" spans="2:12" ht="36.75" hidden="1" thickBot="1" x14ac:dyDescent="0.3">
      <c r="B135" s="41" t="s">
        <v>540</v>
      </c>
      <c r="C135" s="42" t="s">
        <v>541</v>
      </c>
      <c r="D135" s="42" t="s">
        <v>542</v>
      </c>
      <c r="E135" s="43">
        <v>46023</v>
      </c>
      <c r="F135" s="43">
        <v>46023</v>
      </c>
      <c r="G135" s="42" t="s">
        <v>42</v>
      </c>
      <c r="H135" s="44">
        <v>9</v>
      </c>
      <c r="I135" s="44">
        <v>9.9</v>
      </c>
      <c r="J135" s="42" t="s">
        <v>43</v>
      </c>
      <c r="K135" s="42" t="s">
        <v>543</v>
      </c>
      <c r="L135" s="45"/>
    </row>
    <row r="136" spans="2:12" ht="36.75" hidden="1" thickBot="1" x14ac:dyDescent="0.3">
      <c r="B136" s="41" t="s">
        <v>548</v>
      </c>
      <c r="C136" s="42" t="s">
        <v>549</v>
      </c>
      <c r="D136" s="42" t="s">
        <v>550</v>
      </c>
      <c r="E136" s="43">
        <v>46023</v>
      </c>
      <c r="F136" s="43">
        <v>46023</v>
      </c>
      <c r="G136" s="42" t="s">
        <v>42</v>
      </c>
      <c r="H136" s="44">
        <v>2.8</v>
      </c>
      <c r="I136" s="44">
        <v>3</v>
      </c>
      <c r="J136" s="42" t="s">
        <v>68</v>
      </c>
      <c r="K136" s="42" t="s">
        <v>551</v>
      </c>
      <c r="L136" s="45"/>
    </row>
    <row r="137" spans="2:12" ht="48.75" hidden="1" thickBot="1" x14ac:dyDescent="0.3">
      <c r="B137" s="41" t="s">
        <v>445</v>
      </c>
      <c r="C137" s="42" t="s">
        <v>446</v>
      </c>
      <c r="D137" s="42" t="s">
        <v>447</v>
      </c>
      <c r="E137" s="43">
        <v>45017</v>
      </c>
      <c r="F137" s="43">
        <v>46054</v>
      </c>
      <c r="G137" s="42" t="s">
        <v>42</v>
      </c>
      <c r="H137" s="44">
        <v>9</v>
      </c>
      <c r="I137" s="44">
        <v>11</v>
      </c>
      <c r="J137" s="42" t="s">
        <v>52</v>
      </c>
      <c r="K137" s="42" t="s">
        <v>448</v>
      </c>
      <c r="L137" s="42"/>
    </row>
    <row r="138" spans="2:12" ht="48.75" hidden="1" thickBot="1" x14ac:dyDescent="0.3">
      <c r="B138" s="41" t="s">
        <v>552</v>
      </c>
      <c r="C138" s="42" t="s">
        <v>553</v>
      </c>
      <c r="D138" s="42" t="s">
        <v>554</v>
      </c>
      <c r="E138" s="43">
        <v>45870</v>
      </c>
      <c r="F138" s="43">
        <v>46054</v>
      </c>
      <c r="G138" s="42" t="s">
        <v>42</v>
      </c>
      <c r="H138" s="44">
        <v>3</v>
      </c>
      <c r="I138" s="44">
        <v>3</v>
      </c>
      <c r="J138" s="42" t="s">
        <v>48</v>
      </c>
      <c r="K138" s="42" t="s">
        <v>555</v>
      </c>
      <c r="L138" s="42"/>
    </row>
    <row r="139" spans="2:12" ht="36.75" hidden="1" thickBot="1" x14ac:dyDescent="0.3">
      <c r="B139" s="41" t="s">
        <v>556</v>
      </c>
      <c r="C139" s="42" t="s">
        <v>557</v>
      </c>
      <c r="D139" s="42" t="s">
        <v>558</v>
      </c>
      <c r="E139" s="43">
        <v>46054</v>
      </c>
      <c r="F139" s="43">
        <v>46054</v>
      </c>
      <c r="G139" s="42" t="s">
        <v>30</v>
      </c>
      <c r="H139" s="44">
        <v>9</v>
      </c>
      <c r="I139" s="44">
        <v>9</v>
      </c>
      <c r="J139" s="42" t="s">
        <v>332</v>
      </c>
      <c r="K139" s="42" t="s">
        <v>559</v>
      </c>
      <c r="L139" s="45"/>
    </row>
    <row r="140" spans="2:12" ht="48.75" hidden="1" thickBot="1" x14ac:dyDescent="0.3">
      <c r="B140" s="41" t="s">
        <v>560</v>
      </c>
      <c r="C140" s="42" t="s">
        <v>561</v>
      </c>
      <c r="D140" s="42" t="s">
        <v>562</v>
      </c>
      <c r="E140" s="43">
        <v>46082</v>
      </c>
      <c r="F140" s="43">
        <v>46082</v>
      </c>
      <c r="G140" s="42" t="s">
        <v>42</v>
      </c>
      <c r="H140" s="44">
        <v>9</v>
      </c>
      <c r="I140" s="44">
        <v>11</v>
      </c>
      <c r="J140" s="42" t="s">
        <v>43</v>
      </c>
      <c r="K140" s="42" t="s">
        <v>563</v>
      </c>
      <c r="L140" s="45"/>
    </row>
    <row r="141" spans="2:12" ht="36.75" hidden="1" thickBot="1" x14ac:dyDescent="0.3">
      <c r="B141" s="41" t="s">
        <v>564</v>
      </c>
      <c r="C141" s="42" t="s">
        <v>361</v>
      </c>
      <c r="D141" s="42" t="s">
        <v>110</v>
      </c>
      <c r="E141" s="43">
        <v>45170</v>
      </c>
      <c r="F141" s="43">
        <v>46113</v>
      </c>
      <c r="G141" s="42" t="s">
        <v>42</v>
      </c>
      <c r="H141" s="44">
        <v>9</v>
      </c>
      <c r="I141" s="44">
        <v>10</v>
      </c>
      <c r="J141" s="42" t="s">
        <v>43</v>
      </c>
      <c r="K141" s="42" t="s">
        <v>565</v>
      </c>
      <c r="L141" s="42"/>
    </row>
    <row r="142" spans="2:12" ht="36.75" hidden="1" thickBot="1" x14ac:dyDescent="0.3">
      <c r="B142" s="41" t="s">
        <v>566</v>
      </c>
      <c r="C142" s="42" t="s">
        <v>567</v>
      </c>
      <c r="D142" s="42" t="s">
        <v>568</v>
      </c>
      <c r="E142" s="43">
        <v>46143</v>
      </c>
      <c r="F142" s="43">
        <v>46143</v>
      </c>
      <c r="G142" s="42" t="s">
        <v>42</v>
      </c>
      <c r="H142" s="44">
        <v>3.4</v>
      </c>
      <c r="I142" s="44">
        <v>3.4</v>
      </c>
      <c r="J142" s="42" t="s">
        <v>43</v>
      </c>
      <c r="K142" s="42" t="s">
        <v>569</v>
      </c>
      <c r="L142" s="45"/>
    </row>
    <row r="143" spans="2:12" ht="48.75" hidden="1" thickBot="1" x14ac:dyDescent="0.3">
      <c r="B143" s="41" t="s">
        <v>570</v>
      </c>
      <c r="C143" s="42" t="s">
        <v>571</v>
      </c>
      <c r="D143" s="42" t="s">
        <v>572</v>
      </c>
      <c r="E143" s="43">
        <v>46204</v>
      </c>
      <c r="F143" s="43">
        <v>46204</v>
      </c>
      <c r="G143" s="42" t="s">
        <v>42</v>
      </c>
      <c r="H143" s="44">
        <v>9</v>
      </c>
      <c r="I143" s="44">
        <v>10.5</v>
      </c>
      <c r="J143" s="42" t="s">
        <v>111</v>
      </c>
      <c r="K143" s="42" t="s">
        <v>573</v>
      </c>
      <c r="L143" s="45"/>
    </row>
    <row r="144" spans="2:12" ht="60.75" hidden="1" thickBot="1" x14ac:dyDescent="0.3">
      <c r="B144" s="41" t="s">
        <v>574</v>
      </c>
      <c r="C144" s="42" t="s">
        <v>575</v>
      </c>
      <c r="D144" s="42" t="s">
        <v>576</v>
      </c>
      <c r="E144" s="43">
        <v>45170</v>
      </c>
      <c r="F144" s="43">
        <v>46235</v>
      </c>
      <c r="G144" s="42" t="s">
        <v>42</v>
      </c>
      <c r="H144" s="44">
        <v>7.6</v>
      </c>
      <c r="I144" s="44">
        <v>10.6</v>
      </c>
      <c r="J144" s="42" t="s">
        <v>159</v>
      </c>
      <c r="K144" s="42" t="s">
        <v>577</v>
      </c>
      <c r="L144" s="42"/>
    </row>
    <row r="145" spans="2:12" ht="36.75" hidden="1" thickBot="1" x14ac:dyDescent="0.3">
      <c r="B145" s="41" t="s">
        <v>578</v>
      </c>
      <c r="C145" s="42" t="s">
        <v>579</v>
      </c>
      <c r="D145" s="42" t="s">
        <v>128</v>
      </c>
      <c r="E145" s="43">
        <v>45170</v>
      </c>
      <c r="F145" s="43">
        <v>46235</v>
      </c>
      <c r="G145" s="42" t="s">
        <v>42</v>
      </c>
      <c r="H145" s="44">
        <v>9</v>
      </c>
      <c r="I145" s="44">
        <v>12.5</v>
      </c>
      <c r="J145" s="42" t="s">
        <v>316</v>
      </c>
      <c r="K145" s="42" t="s">
        <v>580</v>
      </c>
      <c r="L145" s="42"/>
    </row>
    <row r="146" spans="2:12" ht="36.75" hidden="1" thickBot="1" x14ac:dyDescent="0.3">
      <c r="B146" s="41" t="s">
        <v>581</v>
      </c>
      <c r="C146" s="42" t="s">
        <v>582</v>
      </c>
      <c r="D146" s="42" t="s">
        <v>128</v>
      </c>
      <c r="E146" s="43">
        <v>45200</v>
      </c>
      <c r="F146" s="43">
        <v>46235</v>
      </c>
      <c r="G146" s="42" t="s">
        <v>42</v>
      </c>
      <c r="H146" s="44">
        <v>9</v>
      </c>
      <c r="I146" s="44">
        <v>12.5</v>
      </c>
      <c r="J146" s="42" t="s">
        <v>159</v>
      </c>
      <c r="K146" s="42" t="s">
        <v>583</v>
      </c>
      <c r="L146" s="42"/>
    </row>
    <row r="147" spans="2:12" ht="36.75" hidden="1" thickBot="1" x14ac:dyDescent="0.3">
      <c r="B147" s="41" t="s">
        <v>584</v>
      </c>
      <c r="C147" s="42" t="s">
        <v>585</v>
      </c>
      <c r="D147" s="42" t="s">
        <v>586</v>
      </c>
      <c r="E147" s="43">
        <v>45261</v>
      </c>
      <c r="F147" s="43">
        <v>46235</v>
      </c>
      <c r="G147" s="42" t="s">
        <v>42</v>
      </c>
      <c r="H147" s="44">
        <v>9</v>
      </c>
      <c r="I147" s="44">
        <v>10.1</v>
      </c>
      <c r="J147" s="42" t="s">
        <v>48</v>
      </c>
      <c r="K147" s="42" t="s">
        <v>587</v>
      </c>
      <c r="L147" s="87"/>
    </row>
    <row r="148" spans="2:12" ht="48.75" hidden="1" thickBot="1" x14ac:dyDescent="0.3">
      <c r="B148" s="41" t="s">
        <v>588</v>
      </c>
      <c r="C148" s="42" t="s">
        <v>589</v>
      </c>
      <c r="D148" s="42" t="s">
        <v>110</v>
      </c>
      <c r="E148" s="43">
        <v>45292</v>
      </c>
      <c r="F148" s="43">
        <v>46235</v>
      </c>
      <c r="G148" s="42" t="s">
        <v>42</v>
      </c>
      <c r="H148" s="44">
        <v>9</v>
      </c>
      <c r="I148" s="44">
        <v>11</v>
      </c>
      <c r="J148" s="42" t="s">
        <v>316</v>
      </c>
      <c r="K148" s="42" t="s">
        <v>590</v>
      </c>
      <c r="L148" s="45"/>
    </row>
    <row r="149" spans="2:12" ht="48.75" hidden="1" thickBot="1" x14ac:dyDescent="0.3">
      <c r="B149" s="41" t="s">
        <v>591</v>
      </c>
      <c r="C149" s="42" t="s">
        <v>592</v>
      </c>
      <c r="D149" s="42" t="s">
        <v>593</v>
      </c>
      <c r="E149" s="43">
        <v>46235</v>
      </c>
      <c r="F149" s="43">
        <v>46235</v>
      </c>
      <c r="G149" s="42" t="s">
        <v>30</v>
      </c>
      <c r="H149" s="44">
        <v>9</v>
      </c>
      <c r="I149" s="44">
        <v>9</v>
      </c>
      <c r="J149" s="42" t="s">
        <v>31</v>
      </c>
      <c r="K149" s="42" t="s">
        <v>594</v>
      </c>
      <c r="L149" s="45"/>
    </row>
    <row r="150" spans="2:12" ht="36.75" hidden="1" thickBot="1" x14ac:dyDescent="0.3">
      <c r="B150" s="41" t="s">
        <v>595</v>
      </c>
      <c r="C150" s="42" t="s">
        <v>596</v>
      </c>
      <c r="D150" s="42" t="s">
        <v>597</v>
      </c>
      <c r="E150" s="43">
        <v>46235</v>
      </c>
      <c r="F150" s="43">
        <v>46235</v>
      </c>
      <c r="G150" s="42" t="s">
        <v>497</v>
      </c>
      <c r="H150" s="44">
        <v>9</v>
      </c>
      <c r="I150" s="44">
        <v>11.4</v>
      </c>
      <c r="J150" s="42" t="s">
        <v>129</v>
      </c>
      <c r="K150" s="42" t="s">
        <v>598</v>
      </c>
      <c r="L150" s="45"/>
    </row>
    <row r="151" spans="2:12" ht="48.75" hidden="1" thickBot="1" x14ac:dyDescent="0.3">
      <c r="B151" s="41" t="s">
        <v>494</v>
      </c>
      <c r="C151" s="42" t="s">
        <v>495</v>
      </c>
      <c r="D151" s="42" t="s">
        <v>496</v>
      </c>
      <c r="E151" s="43">
        <v>45870</v>
      </c>
      <c r="F151" s="43">
        <v>46296</v>
      </c>
      <c r="G151" s="42" t="s">
        <v>497</v>
      </c>
      <c r="H151" s="44">
        <v>9</v>
      </c>
      <c r="I151" s="44">
        <v>11.3</v>
      </c>
      <c r="J151" s="42" t="s">
        <v>111</v>
      </c>
      <c r="K151" s="42" t="s">
        <v>498</v>
      </c>
      <c r="L151" s="42"/>
    </row>
    <row r="152" spans="2:12" ht="48.75" hidden="1" thickBot="1" x14ac:dyDescent="0.3">
      <c r="B152" s="41" t="s">
        <v>603</v>
      </c>
      <c r="C152" s="42" t="s">
        <v>604</v>
      </c>
      <c r="D152" s="42" t="s">
        <v>605</v>
      </c>
      <c r="E152" s="43">
        <v>46296</v>
      </c>
      <c r="F152" s="43">
        <v>46296</v>
      </c>
      <c r="G152" s="42" t="s">
        <v>42</v>
      </c>
      <c r="H152" s="44">
        <v>9</v>
      </c>
      <c r="I152" s="44">
        <v>10.9</v>
      </c>
      <c r="J152" s="42" t="s">
        <v>129</v>
      </c>
      <c r="K152" s="42" t="s">
        <v>606</v>
      </c>
      <c r="L152" s="45"/>
    </row>
    <row r="153" spans="2:12" ht="48.75" hidden="1" thickBot="1" x14ac:dyDescent="0.3">
      <c r="B153" s="41" t="s">
        <v>484</v>
      </c>
      <c r="C153" s="42" t="s">
        <v>485</v>
      </c>
      <c r="D153" s="42" t="s">
        <v>486</v>
      </c>
      <c r="E153" s="43">
        <v>45689</v>
      </c>
      <c r="F153" s="43">
        <v>46327</v>
      </c>
      <c r="G153" s="42" t="s">
        <v>42</v>
      </c>
      <c r="H153" s="44">
        <v>9</v>
      </c>
      <c r="I153" s="44">
        <v>10</v>
      </c>
      <c r="J153" s="42" t="s">
        <v>43</v>
      </c>
      <c r="K153" s="42" t="s">
        <v>487</v>
      </c>
      <c r="L153" s="42"/>
    </row>
    <row r="154" spans="2:12" ht="36.75" hidden="1" thickBot="1" x14ac:dyDescent="0.3">
      <c r="B154" s="41" t="s">
        <v>544</v>
      </c>
      <c r="C154" s="42" t="s">
        <v>545</v>
      </c>
      <c r="D154" s="42" t="s">
        <v>546</v>
      </c>
      <c r="E154" s="43">
        <v>46023</v>
      </c>
      <c r="F154" s="43">
        <v>46357</v>
      </c>
      <c r="G154" s="42" t="s">
        <v>497</v>
      </c>
      <c r="H154" s="44">
        <v>6.5</v>
      </c>
      <c r="I154" s="44">
        <v>8.1</v>
      </c>
      <c r="J154" s="42" t="s">
        <v>111</v>
      </c>
      <c r="K154" s="42" t="s">
        <v>547</v>
      </c>
      <c r="L154" s="45"/>
    </row>
    <row r="155" spans="2:12" ht="48.75" hidden="1" thickBot="1" x14ac:dyDescent="0.3">
      <c r="B155" s="41" t="s">
        <v>607</v>
      </c>
      <c r="C155" s="42" t="s">
        <v>608</v>
      </c>
      <c r="D155" s="42" t="s">
        <v>609</v>
      </c>
      <c r="E155" s="43">
        <v>46357</v>
      </c>
      <c r="F155" s="43">
        <v>46357</v>
      </c>
      <c r="G155" s="42" t="s">
        <v>497</v>
      </c>
      <c r="H155" s="44">
        <v>9</v>
      </c>
      <c r="I155" s="44">
        <v>13.9</v>
      </c>
      <c r="J155" s="42" t="s">
        <v>111</v>
      </c>
      <c r="K155" s="42" t="s">
        <v>610</v>
      </c>
      <c r="L155" s="45"/>
    </row>
    <row r="156" spans="2:12" ht="36.75" hidden="1" thickBot="1" x14ac:dyDescent="0.3">
      <c r="B156" s="41" t="s">
        <v>641</v>
      </c>
      <c r="C156" s="42" t="s">
        <v>642</v>
      </c>
      <c r="D156" s="42" t="s">
        <v>1463</v>
      </c>
      <c r="E156" s="43">
        <v>46357</v>
      </c>
      <c r="F156" s="43">
        <v>46357</v>
      </c>
      <c r="G156" s="42" t="s">
        <v>497</v>
      </c>
      <c r="H156" s="44">
        <v>9</v>
      </c>
      <c r="I156" s="44">
        <v>9</v>
      </c>
      <c r="J156" s="42" t="s">
        <v>111</v>
      </c>
      <c r="K156" s="42" t="s">
        <v>643</v>
      </c>
      <c r="L156" s="45"/>
    </row>
    <row r="157" spans="2:12" ht="48.75" hidden="1" thickBot="1" x14ac:dyDescent="0.3">
      <c r="B157" s="41" t="s">
        <v>599</v>
      </c>
      <c r="C157" s="42" t="s">
        <v>600</v>
      </c>
      <c r="D157" s="85" t="s">
        <v>601</v>
      </c>
      <c r="E157" s="43">
        <v>46296</v>
      </c>
      <c r="F157" s="43">
        <v>46388</v>
      </c>
      <c r="G157" s="42" t="s">
        <v>497</v>
      </c>
      <c r="H157" s="44">
        <v>9</v>
      </c>
      <c r="I157" s="44">
        <v>11.7</v>
      </c>
      <c r="J157" s="42" t="s">
        <v>111</v>
      </c>
      <c r="K157" s="42" t="s">
        <v>602</v>
      </c>
      <c r="L157" s="42"/>
    </row>
    <row r="158" spans="2:12" ht="48.75" hidden="1" thickBot="1" x14ac:dyDescent="0.3">
      <c r="B158" s="41" t="s">
        <v>611</v>
      </c>
      <c r="C158" s="42" t="s">
        <v>612</v>
      </c>
      <c r="D158" s="42" t="s">
        <v>613</v>
      </c>
      <c r="E158" s="43">
        <v>46388</v>
      </c>
      <c r="F158" s="43">
        <v>46388</v>
      </c>
      <c r="G158" s="42" t="s">
        <v>42</v>
      </c>
      <c r="H158" s="44">
        <v>9</v>
      </c>
      <c r="I158" s="44">
        <v>9</v>
      </c>
      <c r="J158" s="42" t="s">
        <v>48</v>
      </c>
      <c r="K158" s="42" t="s">
        <v>614</v>
      </c>
      <c r="L158" s="45"/>
    </row>
    <row r="159" spans="2:12" ht="36.75" hidden="1" thickBot="1" x14ac:dyDescent="0.3">
      <c r="B159" s="41" t="s">
        <v>615</v>
      </c>
      <c r="C159" s="42" t="s">
        <v>616</v>
      </c>
      <c r="D159" s="42" t="s">
        <v>617</v>
      </c>
      <c r="E159" s="43">
        <v>45078</v>
      </c>
      <c r="F159" s="43">
        <v>46419</v>
      </c>
      <c r="G159" s="42" t="s">
        <v>42</v>
      </c>
      <c r="H159" s="44">
        <v>9</v>
      </c>
      <c r="I159" s="44">
        <v>10.6</v>
      </c>
      <c r="J159" s="42" t="s">
        <v>43</v>
      </c>
      <c r="K159" s="42" t="s">
        <v>618</v>
      </c>
      <c r="L159" s="42"/>
    </row>
    <row r="160" spans="2:12" ht="36.75" hidden="1" thickBot="1" x14ac:dyDescent="0.3">
      <c r="B160" s="41" t="s">
        <v>619</v>
      </c>
      <c r="C160" s="42" t="s">
        <v>620</v>
      </c>
      <c r="D160" s="42" t="s">
        <v>621</v>
      </c>
      <c r="E160" s="43">
        <v>45261</v>
      </c>
      <c r="F160" s="43">
        <v>46419</v>
      </c>
      <c r="G160" s="42" t="s">
        <v>42</v>
      </c>
      <c r="H160" s="44">
        <v>9</v>
      </c>
      <c r="I160" s="44">
        <v>10.6</v>
      </c>
      <c r="J160" s="42" t="s">
        <v>43</v>
      </c>
      <c r="K160" s="42" t="s">
        <v>622</v>
      </c>
      <c r="L160" s="42"/>
    </row>
    <row r="161" spans="2:12" ht="48.75" hidden="1" thickBot="1" x14ac:dyDescent="0.3">
      <c r="B161" s="41" t="s">
        <v>371</v>
      </c>
      <c r="C161" s="42" t="s">
        <v>372</v>
      </c>
      <c r="D161" s="42" t="s">
        <v>128</v>
      </c>
      <c r="E161" s="43">
        <v>45474</v>
      </c>
      <c r="F161" s="43">
        <v>46539</v>
      </c>
      <c r="G161" s="42" t="s">
        <v>30</v>
      </c>
      <c r="H161" s="44">
        <v>9</v>
      </c>
      <c r="I161" s="44">
        <v>12.6</v>
      </c>
      <c r="J161" s="42" t="s">
        <v>68</v>
      </c>
      <c r="K161" s="42" t="s">
        <v>373</v>
      </c>
      <c r="L161" s="42"/>
    </row>
    <row r="162" spans="2:12" ht="48.75" hidden="1" thickBot="1" x14ac:dyDescent="0.3">
      <c r="B162" s="41" t="s">
        <v>623</v>
      </c>
      <c r="C162" s="42" t="s">
        <v>624</v>
      </c>
      <c r="D162" s="42" t="s">
        <v>625</v>
      </c>
      <c r="E162" s="43">
        <v>46539</v>
      </c>
      <c r="F162" s="43">
        <v>46539</v>
      </c>
      <c r="G162" s="42" t="s">
        <v>497</v>
      </c>
      <c r="H162" s="44">
        <v>6</v>
      </c>
      <c r="I162" s="44">
        <v>9.9</v>
      </c>
      <c r="J162" s="42" t="s">
        <v>332</v>
      </c>
      <c r="K162" s="42" t="s">
        <v>626</v>
      </c>
      <c r="L162" s="45"/>
    </row>
    <row r="163" spans="2:12" ht="48.75" hidden="1" thickBot="1" x14ac:dyDescent="0.3">
      <c r="B163" s="41" t="s">
        <v>627</v>
      </c>
      <c r="C163" s="42" t="s">
        <v>628</v>
      </c>
      <c r="D163" s="42" t="s">
        <v>629</v>
      </c>
      <c r="E163" s="43">
        <v>46569</v>
      </c>
      <c r="F163" s="43">
        <v>46569</v>
      </c>
      <c r="G163" s="42" t="s">
        <v>497</v>
      </c>
      <c r="H163" s="44">
        <v>4.5</v>
      </c>
      <c r="I163" s="44">
        <v>7.4</v>
      </c>
      <c r="J163" s="42" t="s">
        <v>332</v>
      </c>
      <c r="K163" s="42" t="s">
        <v>630</v>
      </c>
      <c r="L163" s="45"/>
    </row>
    <row r="164" spans="2:12" ht="48.75" hidden="1" thickBot="1" x14ac:dyDescent="0.3">
      <c r="B164" s="41" t="s">
        <v>631</v>
      </c>
      <c r="C164" s="42" t="s">
        <v>632</v>
      </c>
      <c r="D164" s="42" t="s">
        <v>633</v>
      </c>
      <c r="E164" s="43" t="s">
        <v>634</v>
      </c>
      <c r="F164" s="43" t="s">
        <v>634</v>
      </c>
      <c r="G164" s="42" t="s">
        <v>30</v>
      </c>
      <c r="H164" s="44">
        <v>9</v>
      </c>
      <c r="I164" s="44">
        <v>9</v>
      </c>
      <c r="J164" s="42" t="s">
        <v>31</v>
      </c>
      <c r="K164" s="42" t="s">
        <v>635</v>
      </c>
      <c r="L164" s="45"/>
    </row>
    <row r="165" spans="2:12" ht="36.75" hidden="1" thickBot="1" x14ac:dyDescent="0.3">
      <c r="B165" s="41" t="s">
        <v>637</v>
      </c>
      <c r="C165" s="42" t="s">
        <v>638</v>
      </c>
      <c r="D165" s="42" t="s">
        <v>1464</v>
      </c>
      <c r="E165" s="43">
        <v>46327</v>
      </c>
      <c r="F165" s="43" t="s">
        <v>639</v>
      </c>
      <c r="G165" s="42" t="s">
        <v>497</v>
      </c>
      <c r="H165" s="44">
        <v>4.9000000000000004</v>
      </c>
      <c r="I165" s="44">
        <v>10.5</v>
      </c>
      <c r="J165" s="42" t="s">
        <v>159</v>
      </c>
      <c r="K165" s="42" t="s">
        <v>640</v>
      </c>
      <c r="L165" s="45"/>
    </row>
    <row r="166" spans="2:12" hidden="1" x14ac:dyDescent="0.25">
      <c r="B166" s="3" t="s">
        <v>644</v>
      </c>
    </row>
    <row r="167" spans="2:12" x14ac:dyDescent="0.25"/>
    <row r="168" spans="2:12" x14ac:dyDescent="0.25"/>
    <row r="169" spans="2:12" x14ac:dyDescent="0.25"/>
    <row r="170" spans="2:12" ht="14.25" hidden="1" customHeight="1" x14ac:dyDescent="0.25"/>
  </sheetData>
  <autoFilter xmlns:x14="http://schemas.microsoft.com/office/spreadsheetml/2009/9/main" ref="B3:L166" xr:uid="{00000000-0001-0000-0200-000000000000}">
    <filterColumn colId="10">
      <mc:AlternateContent xmlns:mc="http://schemas.openxmlformats.org/markup-compatibility/2006">
        <mc:Choice Requires="x14">
          <filters>
            <x14:filter val="A la fecha de emisión de la presente Resolución, el proyecto presenta un incumplimiento de los hitos de su cronograma, pudiendo contemplarse en su caso la posible revocación de la declaración en construcción, conforme lo establecido en el artículo 72°-17 de la Ley General de Servicios Eléctricos. (*)"/>
          </filters>
        </mc:Choice>
        <mc:Fallback>
          <customFilters>
            <customFilter val=""/>
            <customFilter operator="notEqual" val=" "/>
          </customFilters>
        </mc:Fallback>
      </mc:AlternateContent>
    </filterColumn>
  </autoFilter>
  <phoneticPr fontId="15" type="noConversion"/>
  <pageMargins left="0.7" right="0.7" top="0.75" bottom="0.75" header="0.3" footer="0.3"/>
  <pageSetup paperSize="9" scale="34"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9" tint="0.39997558519241921"/>
  </sheetPr>
  <dimension ref="A1:N58"/>
  <sheetViews>
    <sheetView showGridLines="0" zoomScale="80" zoomScaleNormal="80" workbookViewId="0">
      <selection activeCell="B4" sqref="B4"/>
    </sheetView>
  </sheetViews>
  <sheetFormatPr baseColWidth="10" defaultColWidth="0" defaultRowHeight="15" zeroHeight="1" x14ac:dyDescent="0.25"/>
  <cols>
    <col min="1" max="1" width="11.7109375" style="3" customWidth="1"/>
    <col min="2" max="2" width="12.42578125" style="3" customWidth="1"/>
    <col min="3" max="3" width="12.5703125" style="3" customWidth="1"/>
    <col min="4" max="4" width="11.42578125" style="3" customWidth="1"/>
    <col min="5" max="5" width="12" style="3" customWidth="1"/>
    <col min="6" max="9" width="11.42578125" style="3" customWidth="1"/>
    <col min="10" max="10" width="12.28515625" style="3" customWidth="1"/>
    <col min="11" max="11" width="11.42578125" style="3" customWidth="1"/>
    <col min="12" max="12" width="62.42578125" style="3" customWidth="1"/>
    <col min="13" max="14" width="8.85546875" style="3" customWidth="1"/>
    <col min="15" max="16384" width="8.85546875" style="3" hidden="1"/>
  </cols>
  <sheetData>
    <row r="1" spans="1:12" x14ac:dyDescent="0.25">
      <c r="A1" s="8" t="s">
        <v>5</v>
      </c>
      <c r="C1" s="8"/>
      <c r="D1" s="8"/>
      <c r="E1" s="8"/>
      <c r="F1" s="8"/>
      <c r="G1" s="8"/>
    </row>
    <row r="2" spans="1:12" ht="15.75" thickBot="1" x14ac:dyDescent="0.3"/>
    <row r="3" spans="1:12" ht="48.75" thickBot="1" x14ac:dyDescent="0.3">
      <c r="B3" s="6" t="s">
        <v>16</v>
      </c>
      <c r="C3" s="7" t="s">
        <v>17</v>
      </c>
      <c r="D3" s="7" t="s">
        <v>18</v>
      </c>
      <c r="E3" s="7" t="s">
        <v>19</v>
      </c>
      <c r="F3" s="7" t="s">
        <v>20</v>
      </c>
      <c r="G3" s="7" t="s">
        <v>21</v>
      </c>
      <c r="H3" s="7" t="s">
        <v>22</v>
      </c>
      <c r="I3" s="7" t="s">
        <v>23</v>
      </c>
      <c r="J3" s="7" t="s">
        <v>24</v>
      </c>
      <c r="K3" s="7" t="s">
        <v>25</v>
      </c>
      <c r="L3" s="7" t="s">
        <v>26</v>
      </c>
    </row>
    <row r="4" spans="1:12" ht="104.25" customHeight="1" thickBot="1" x14ac:dyDescent="0.3">
      <c r="B4" s="41" t="s">
        <v>651</v>
      </c>
      <c r="C4" s="42" t="s">
        <v>652</v>
      </c>
      <c r="D4" s="42" t="s">
        <v>653</v>
      </c>
      <c r="E4" s="43">
        <v>45017</v>
      </c>
      <c r="F4" s="43">
        <v>45017</v>
      </c>
      <c r="G4" s="42" t="s">
        <v>654</v>
      </c>
      <c r="H4" s="44">
        <v>9</v>
      </c>
      <c r="I4" s="44">
        <v>10.7</v>
      </c>
      <c r="J4" s="42" t="s">
        <v>134</v>
      </c>
      <c r="K4" s="42" t="s">
        <v>655</v>
      </c>
      <c r="L4" s="42" t="s">
        <v>38</v>
      </c>
    </row>
    <row r="5" spans="1:12" ht="84.75" thickBot="1" x14ac:dyDescent="0.3">
      <c r="B5" s="88" t="s">
        <v>659</v>
      </c>
      <c r="C5" s="89" t="s">
        <v>660</v>
      </c>
      <c r="D5" s="42" t="s">
        <v>661</v>
      </c>
      <c r="E5" s="90">
        <v>44896</v>
      </c>
      <c r="F5" s="90">
        <v>45108</v>
      </c>
      <c r="G5" s="89" t="s">
        <v>654</v>
      </c>
      <c r="H5" s="91">
        <v>9</v>
      </c>
      <c r="I5" s="44">
        <v>10.6</v>
      </c>
      <c r="J5" s="89" t="s">
        <v>129</v>
      </c>
      <c r="K5" s="89" t="s">
        <v>662</v>
      </c>
      <c r="L5" s="42" t="s">
        <v>38</v>
      </c>
    </row>
    <row r="6" spans="1:12" ht="48.75" thickBot="1" x14ac:dyDescent="0.3">
      <c r="B6" s="41" t="s">
        <v>663</v>
      </c>
      <c r="C6" s="42" t="s">
        <v>664</v>
      </c>
      <c r="D6" s="42" t="s">
        <v>665</v>
      </c>
      <c r="E6" s="90">
        <v>45231</v>
      </c>
      <c r="F6" s="90">
        <v>45231</v>
      </c>
      <c r="G6" s="89" t="s">
        <v>654</v>
      </c>
      <c r="H6" s="91">
        <v>9</v>
      </c>
      <c r="I6" s="44">
        <v>10.5</v>
      </c>
      <c r="J6" s="89" t="s">
        <v>159</v>
      </c>
      <c r="K6" s="89" t="s">
        <v>666</v>
      </c>
      <c r="L6" s="42" t="s">
        <v>33</v>
      </c>
    </row>
    <row r="7" spans="1:12" ht="84.75" thickBot="1" x14ac:dyDescent="0.3">
      <c r="B7" s="41" t="s">
        <v>667</v>
      </c>
      <c r="C7" s="42" t="s">
        <v>668</v>
      </c>
      <c r="D7" s="42" t="s">
        <v>57</v>
      </c>
      <c r="E7" s="43">
        <v>44531</v>
      </c>
      <c r="F7" s="43">
        <v>45261</v>
      </c>
      <c r="G7" s="42" t="s">
        <v>669</v>
      </c>
      <c r="H7" s="44">
        <v>4.5</v>
      </c>
      <c r="I7" s="44">
        <v>5</v>
      </c>
      <c r="J7" s="42" t="s">
        <v>206</v>
      </c>
      <c r="K7" s="42" t="s">
        <v>670</v>
      </c>
      <c r="L7" s="42" t="s">
        <v>38</v>
      </c>
    </row>
    <row r="8" spans="1:12" ht="48" customHeight="1" thickBot="1" x14ac:dyDescent="0.3">
      <c r="B8" s="88" t="s">
        <v>671</v>
      </c>
      <c r="C8" s="89" t="s">
        <v>672</v>
      </c>
      <c r="D8" s="42" t="s">
        <v>110</v>
      </c>
      <c r="E8" s="121">
        <v>45108</v>
      </c>
      <c r="F8" s="121">
        <v>45261</v>
      </c>
      <c r="G8" s="89" t="s">
        <v>654</v>
      </c>
      <c r="H8" s="91">
        <v>3.5</v>
      </c>
      <c r="I8" s="91">
        <v>4.2</v>
      </c>
      <c r="J8" s="89" t="s">
        <v>206</v>
      </c>
      <c r="K8" s="89" t="s">
        <v>673</v>
      </c>
      <c r="L8" s="42" t="s">
        <v>38</v>
      </c>
    </row>
    <row r="9" spans="1:12" ht="48.75" thickBot="1" x14ac:dyDescent="0.3">
      <c r="B9" s="88" t="s">
        <v>674</v>
      </c>
      <c r="C9" s="89" t="s">
        <v>675</v>
      </c>
      <c r="D9" s="42" t="s">
        <v>676</v>
      </c>
      <c r="E9" s="90">
        <v>45261</v>
      </c>
      <c r="F9" s="90">
        <v>45261</v>
      </c>
      <c r="G9" s="89" t="s">
        <v>654</v>
      </c>
      <c r="H9" s="91">
        <v>9</v>
      </c>
      <c r="I9" s="44">
        <v>11.2</v>
      </c>
      <c r="J9" s="89" t="s">
        <v>159</v>
      </c>
      <c r="K9" s="89" t="s">
        <v>677</v>
      </c>
      <c r="L9" s="42" t="s">
        <v>33</v>
      </c>
    </row>
    <row r="10" spans="1:12" ht="48.75" thickBot="1" x14ac:dyDescent="0.3">
      <c r="B10" s="49" t="s">
        <v>678</v>
      </c>
      <c r="C10" s="46" t="s">
        <v>679</v>
      </c>
      <c r="D10" s="92" t="s">
        <v>110</v>
      </c>
      <c r="E10" s="95">
        <v>45139</v>
      </c>
      <c r="F10" s="95">
        <v>45292</v>
      </c>
      <c r="G10" s="46" t="s">
        <v>654</v>
      </c>
      <c r="H10" s="94">
        <v>9</v>
      </c>
      <c r="I10" s="91">
        <v>11.9</v>
      </c>
      <c r="J10" s="46" t="s">
        <v>73</v>
      </c>
      <c r="K10" s="46" t="s">
        <v>680</v>
      </c>
      <c r="L10" s="42" t="s">
        <v>33</v>
      </c>
    </row>
    <row r="11" spans="1:12" ht="84.75" thickBot="1" x14ac:dyDescent="0.3">
      <c r="B11" s="88" t="s">
        <v>681</v>
      </c>
      <c r="C11" s="89" t="s">
        <v>672</v>
      </c>
      <c r="D11" s="42" t="s">
        <v>110</v>
      </c>
      <c r="E11" s="121">
        <v>45352</v>
      </c>
      <c r="F11" s="121">
        <v>45352</v>
      </c>
      <c r="G11" s="89" t="s">
        <v>654</v>
      </c>
      <c r="H11" s="91">
        <v>3.5</v>
      </c>
      <c r="I11" s="91">
        <v>4.2</v>
      </c>
      <c r="J11" s="89" t="s">
        <v>206</v>
      </c>
      <c r="K11" s="89" t="s">
        <v>673</v>
      </c>
      <c r="L11" s="42" t="s">
        <v>38</v>
      </c>
    </row>
    <row r="12" spans="1:12" ht="84.75" thickBot="1" x14ac:dyDescent="0.3">
      <c r="B12" s="49" t="s">
        <v>682</v>
      </c>
      <c r="C12" s="46" t="s">
        <v>683</v>
      </c>
      <c r="D12" s="92" t="s">
        <v>684</v>
      </c>
      <c r="E12" s="95">
        <v>45231</v>
      </c>
      <c r="F12" s="95">
        <v>45413</v>
      </c>
      <c r="G12" s="46" t="s">
        <v>654</v>
      </c>
      <c r="H12" s="94">
        <v>9</v>
      </c>
      <c r="I12" s="44">
        <v>9</v>
      </c>
      <c r="J12" s="46" t="s">
        <v>48</v>
      </c>
      <c r="K12" s="46" t="s">
        <v>685</v>
      </c>
      <c r="L12" s="42" t="s">
        <v>38</v>
      </c>
    </row>
    <row r="13" spans="1:12" ht="84.75" thickBot="1" x14ac:dyDescent="0.3">
      <c r="B13" s="50" t="s">
        <v>686</v>
      </c>
      <c r="C13" s="92" t="s">
        <v>687</v>
      </c>
      <c r="D13" s="42" t="s">
        <v>688</v>
      </c>
      <c r="E13" s="97">
        <v>45413</v>
      </c>
      <c r="F13" s="97">
        <v>45413</v>
      </c>
      <c r="G13" s="92" t="s">
        <v>689</v>
      </c>
      <c r="H13" s="96">
        <v>2.9</v>
      </c>
      <c r="I13" s="44" t="s">
        <v>690</v>
      </c>
      <c r="J13" s="92" t="s">
        <v>514</v>
      </c>
      <c r="K13" s="92" t="s">
        <v>691</v>
      </c>
      <c r="L13" s="42" t="s">
        <v>38</v>
      </c>
    </row>
    <row r="14" spans="1:12" ht="84.75" thickBot="1" x14ac:dyDescent="0.3">
      <c r="B14" s="50" t="s">
        <v>692</v>
      </c>
      <c r="C14" s="92" t="s">
        <v>693</v>
      </c>
      <c r="D14" s="92" t="s">
        <v>694</v>
      </c>
      <c r="E14" s="97" t="s">
        <v>695</v>
      </c>
      <c r="F14" s="97">
        <v>45444</v>
      </c>
      <c r="G14" s="92" t="s">
        <v>648</v>
      </c>
      <c r="H14" s="96">
        <v>136</v>
      </c>
      <c r="I14" s="44">
        <v>136</v>
      </c>
      <c r="J14" s="92" t="s">
        <v>129</v>
      </c>
      <c r="K14" s="92" t="s">
        <v>696</v>
      </c>
      <c r="L14" s="42" t="s">
        <v>38</v>
      </c>
    </row>
    <row r="15" spans="1:12" ht="84.75" thickBot="1" x14ac:dyDescent="0.3">
      <c r="B15" s="49" t="s">
        <v>697</v>
      </c>
      <c r="C15" s="46" t="s">
        <v>698</v>
      </c>
      <c r="D15" s="92" t="s">
        <v>699</v>
      </c>
      <c r="E15" s="95">
        <v>44866</v>
      </c>
      <c r="F15" s="95">
        <v>45474</v>
      </c>
      <c r="G15" s="46" t="s">
        <v>654</v>
      </c>
      <c r="H15" s="94">
        <v>9</v>
      </c>
      <c r="I15" s="96">
        <v>10.6</v>
      </c>
      <c r="J15" s="46" t="s">
        <v>43</v>
      </c>
      <c r="K15" s="46" t="s">
        <v>700</v>
      </c>
      <c r="L15" s="42" t="s">
        <v>38</v>
      </c>
    </row>
    <row r="16" spans="1:12" ht="84.75" thickBot="1" x14ac:dyDescent="0.3">
      <c r="B16" s="50" t="s">
        <v>701</v>
      </c>
      <c r="C16" s="92" t="s">
        <v>702</v>
      </c>
      <c r="D16" s="92" t="s">
        <v>703</v>
      </c>
      <c r="E16" s="93">
        <v>45352</v>
      </c>
      <c r="F16" s="93">
        <v>45536</v>
      </c>
      <c r="G16" s="92" t="s">
        <v>704</v>
      </c>
      <c r="H16" s="96">
        <v>122</v>
      </c>
      <c r="I16" s="44">
        <v>136.30000000000001</v>
      </c>
      <c r="J16" s="92" t="s">
        <v>316</v>
      </c>
      <c r="K16" s="92" t="s">
        <v>705</v>
      </c>
      <c r="L16" s="42" t="s">
        <v>38</v>
      </c>
    </row>
    <row r="17" spans="2:12" ht="84.75" thickBot="1" x14ac:dyDescent="0.3">
      <c r="B17" s="50" t="s">
        <v>706</v>
      </c>
      <c r="C17" s="92" t="s">
        <v>702</v>
      </c>
      <c r="D17" s="92" t="s">
        <v>707</v>
      </c>
      <c r="E17" s="93">
        <v>45352</v>
      </c>
      <c r="F17" s="93">
        <v>45536</v>
      </c>
      <c r="G17" s="92" t="s">
        <v>704</v>
      </c>
      <c r="H17" s="96">
        <v>122</v>
      </c>
      <c r="I17" s="44">
        <v>136.30000000000001</v>
      </c>
      <c r="J17" s="92" t="s">
        <v>316</v>
      </c>
      <c r="K17" s="92" t="s">
        <v>705</v>
      </c>
      <c r="L17" s="42" t="s">
        <v>38</v>
      </c>
    </row>
    <row r="18" spans="2:12" ht="84.75" thickBot="1" x14ac:dyDescent="0.3">
      <c r="B18" s="98" t="s">
        <v>708</v>
      </c>
      <c r="C18" s="99" t="s">
        <v>709</v>
      </c>
      <c r="D18" s="92" t="s">
        <v>710</v>
      </c>
      <c r="E18" s="100">
        <v>45597</v>
      </c>
      <c r="F18" s="100">
        <v>45597</v>
      </c>
      <c r="G18" s="99" t="s">
        <v>711</v>
      </c>
      <c r="H18" s="96">
        <v>10</v>
      </c>
      <c r="I18" s="44">
        <v>10</v>
      </c>
      <c r="J18" s="99" t="s">
        <v>73</v>
      </c>
      <c r="K18" s="99" t="s">
        <v>712</v>
      </c>
      <c r="L18" s="42" t="s">
        <v>38</v>
      </c>
    </row>
    <row r="19" spans="2:12" ht="84.75" thickBot="1" x14ac:dyDescent="0.3">
      <c r="B19" s="50" t="s">
        <v>713</v>
      </c>
      <c r="C19" s="92" t="s">
        <v>714</v>
      </c>
      <c r="D19" s="92" t="s">
        <v>715</v>
      </c>
      <c r="E19" s="97">
        <v>44866</v>
      </c>
      <c r="F19" s="97">
        <v>45627</v>
      </c>
      <c r="G19" s="92" t="s">
        <v>654</v>
      </c>
      <c r="H19" s="96">
        <v>9</v>
      </c>
      <c r="I19" s="44">
        <v>10.6</v>
      </c>
      <c r="J19" s="92" t="s">
        <v>129</v>
      </c>
      <c r="K19" s="92" t="s">
        <v>716</v>
      </c>
      <c r="L19" s="42" t="s">
        <v>38</v>
      </c>
    </row>
    <row r="20" spans="2:12" ht="84.75" thickBot="1" x14ac:dyDescent="0.3">
      <c r="B20" s="49" t="s">
        <v>717</v>
      </c>
      <c r="C20" s="46" t="s">
        <v>718</v>
      </c>
      <c r="D20" s="42" t="s">
        <v>719</v>
      </c>
      <c r="E20" s="95">
        <v>45383</v>
      </c>
      <c r="F20" s="95">
        <v>45627</v>
      </c>
      <c r="G20" s="46" t="s">
        <v>711</v>
      </c>
      <c r="H20" s="94">
        <v>40</v>
      </c>
      <c r="I20" s="44">
        <v>40</v>
      </c>
      <c r="J20" s="46" t="s">
        <v>384</v>
      </c>
      <c r="K20" s="46" t="s">
        <v>720</v>
      </c>
      <c r="L20" s="42" t="s">
        <v>38</v>
      </c>
    </row>
    <row r="21" spans="2:12" ht="84.75" thickBot="1" x14ac:dyDescent="0.3">
      <c r="B21" s="50" t="s">
        <v>728</v>
      </c>
      <c r="C21" s="92" t="s">
        <v>729</v>
      </c>
      <c r="D21" s="42" t="s">
        <v>320</v>
      </c>
      <c r="E21" s="97">
        <v>44743</v>
      </c>
      <c r="F21" s="97">
        <v>45748</v>
      </c>
      <c r="G21" s="92" t="s">
        <v>650</v>
      </c>
      <c r="H21" s="96">
        <v>145.69999999999999</v>
      </c>
      <c r="I21" s="44">
        <v>148.5</v>
      </c>
      <c r="J21" s="92" t="s">
        <v>332</v>
      </c>
      <c r="K21" s="92" t="s">
        <v>730</v>
      </c>
      <c r="L21" s="42" t="s">
        <v>38</v>
      </c>
    </row>
    <row r="22" spans="2:12" ht="84.75" thickBot="1" x14ac:dyDescent="0.3">
      <c r="B22" s="55" t="s">
        <v>731</v>
      </c>
      <c r="C22" s="15" t="s">
        <v>732</v>
      </c>
      <c r="D22" s="85" t="s">
        <v>733</v>
      </c>
      <c r="E22" s="108">
        <v>45748</v>
      </c>
      <c r="F22" s="108">
        <v>45748</v>
      </c>
      <c r="G22" s="15" t="s">
        <v>734</v>
      </c>
      <c r="H22" s="101">
        <v>220</v>
      </c>
      <c r="I22" s="101" t="s">
        <v>735</v>
      </c>
      <c r="J22" s="15" t="s">
        <v>159</v>
      </c>
      <c r="K22" s="15" t="s">
        <v>736</v>
      </c>
      <c r="L22" s="42" t="s">
        <v>38</v>
      </c>
    </row>
    <row r="23" spans="2:12" ht="84.75" thickBot="1" x14ac:dyDescent="0.3">
      <c r="B23" s="52" t="s">
        <v>488</v>
      </c>
      <c r="C23" s="51" t="s">
        <v>489</v>
      </c>
      <c r="D23" s="42" t="s">
        <v>490</v>
      </c>
      <c r="E23" s="53" t="s">
        <v>740</v>
      </c>
      <c r="F23" s="53">
        <v>45839</v>
      </c>
      <c r="G23" s="51" t="s">
        <v>93</v>
      </c>
      <c r="H23" s="101" t="s">
        <v>741</v>
      </c>
      <c r="I23" s="101" t="s">
        <v>741</v>
      </c>
      <c r="J23" s="51" t="s">
        <v>31</v>
      </c>
      <c r="K23" s="51" t="s">
        <v>491</v>
      </c>
      <c r="L23" s="42" t="s">
        <v>38</v>
      </c>
    </row>
    <row r="24" spans="2:12" ht="36.75" thickBot="1" x14ac:dyDescent="0.3">
      <c r="B24" s="102" t="s">
        <v>749</v>
      </c>
      <c r="C24" s="103" t="s">
        <v>750</v>
      </c>
      <c r="D24" s="42" t="s">
        <v>110</v>
      </c>
      <c r="E24" s="106">
        <v>45078</v>
      </c>
      <c r="F24" s="106">
        <v>45901</v>
      </c>
      <c r="G24" s="103" t="s">
        <v>654</v>
      </c>
      <c r="H24" s="105">
        <v>6</v>
      </c>
      <c r="I24" s="103">
        <v>7.2</v>
      </c>
      <c r="J24" s="103" t="s">
        <v>316</v>
      </c>
      <c r="K24" s="103" t="s">
        <v>751</v>
      </c>
      <c r="L24" s="42"/>
    </row>
    <row r="25" spans="2:12" ht="36.75" thickBot="1" x14ac:dyDescent="0.3">
      <c r="B25" s="49" t="s">
        <v>752</v>
      </c>
      <c r="C25" s="46" t="s">
        <v>753</v>
      </c>
      <c r="D25" s="42" t="s">
        <v>110</v>
      </c>
      <c r="E25" s="122">
        <v>45078</v>
      </c>
      <c r="F25" s="122">
        <v>45901</v>
      </c>
      <c r="G25" s="49" t="s">
        <v>654</v>
      </c>
      <c r="H25" s="94">
        <v>9</v>
      </c>
      <c r="I25" s="46">
        <v>10.9</v>
      </c>
      <c r="J25" s="46" t="s">
        <v>316</v>
      </c>
      <c r="K25" s="46" t="s">
        <v>751</v>
      </c>
      <c r="L25" s="42"/>
    </row>
    <row r="26" spans="2:12" ht="48.75" thickBot="1" x14ac:dyDescent="0.3">
      <c r="B26" s="98" t="s">
        <v>754</v>
      </c>
      <c r="C26" s="99" t="s">
        <v>755</v>
      </c>
      <c r="D26" s="42" t="s">
        <v>756</v>
      </c>
      <c r="E26" s="116">
        <v>45931</v>
      </c>
      <c r="F26" s="116">
        <v>45931</v>
      </c>
      <c r="G26" s="98" t="s">
        <v>704</v>
      </c>
      <c r="H26" s="96">
        <v>50</v>
      </c>
      <c r="I26" s="96">
        <v>53</v>
      </c>
      <c r="J26" s="99" t="s">
        <v>316</v>
      </c>
      <c r="K26" s="99" t="s">
        <v>757</v>
      </c>
      <c r="L26" s="42" t="s">
        <v>758</v>
      </c>
    </row>
    <row r="27" spans="2:12" ht="48.75" thickBot="1" x14ac:dyDescent="0.3">
      <c r="B27" s="102" t="s">
        <v>767</v>
      </c>
      <c r="C27" s="103" t="s">
        <v>768</v>
      </c>
      <c r="D27" s="42" t="s">
        <v>769</v>
      </c>
      <c r="E27" s="107">
        <v>45962</v>
      </c>
      <c r="F27" s="107">
        <v>45962</v>
      </c>
      <c r="G27" s="103" t="s">
        <v>650</v>
      </c>
      <c r="H27" s="94">
        <v>33.6</v>
      </c>
      <c r="I27" s="94">
        <v>36.6</v>
      </c>
      <c r="J27" s="103" t="s">
        <v>52</v>
      </c>
      <c r="K27" s="103" t="s">
        <v>770</v>
      </c>
      <c r="L27" s="42"/>
    </row>
    <row r="28" spans="2:12" ht="36.75" thickBot="1" x14ac:dyDescent="0.3">
      <c r="B28" s="102" t="s">
        <v>737</v>
      </c>
      <c r="C28" s="103" t="s">
        <v>738</v>
      </c>
      <c r="D28" s="42" t="s">
        <v>110</v>
      </c>
      <c r="E28" s="107">
        <v>45323</v>
      </c>
      <c r="F28" s="107">
        <v>45992</v>
      </c>
      <c r="G28" s="103" t="s">
        <v>654</v>
      </c>
      <c r="H28" s="94">
        <v>9</v>
      </c>
      <c r="I28" s="94">
        <v>10.8</v>
      </c>
      <c r="J28" s="103" t="s">
        <v>159</v>
      </c>
      <c r="K28" s="103" t="s">
        <v>739</v>
      </c>
      <c r="L28" s="42"/>
    </row>
    <row r="29" spans="2:12" ht="36.75" thickBot="1" x14ac:dyDescent="0.3">
      <c r="B29" s="102" t="s">
        <v>771</v>
      </c>
      <c r="C29" s="103" t="s">
        <v>772</v>
      </c>
      <c r="D29" s="42" t="s">
        <v>773</v>
      </c>
      <c r="E29" s="107">
        <v>44958</v>
      </c>
      <c r="F29" s="107">
        <v>45992</v>
      </c>
      <c r="G29" s="103" t="s">
        <v>654</v>
      </c>
      <c r="H29" s="94">
        <v>9</v>
      </c>
      <c r="I29" s="96">
        <v>9.9</v>
      </c>
      <c r="J29" s="103" t="s">
        <v>316</v>
      </c>
      <c r="K29" s="103" t="s">
        <v>774</v>
      </c>
      <c r="L29" s="42"/>
    </row>
    <row r="30" spans="2:12" ht="60.75" thickBot="1" x14ac:dyDescent="0.3">
      <c r="B30" s="49" t="s">
        <v>775</v>
      </c>
      <c r="C30" s="46" t="s">
        <v>776</v>
      </c>
      <c r="D30" s="42" t="s">
        <v>777</v>
      </c>
      <c r="E30" s="104">
        <v>45992</v>
      </c>
      <c r="F30" s="104">
        <v>45992</v>
      </c>
      <c r="G30" s="103" t="s">
        <v>704</v>
      </c>
      <c r="H30" s="103">
        <v>80</v>
      </c>
      <c r="I30" s="103">
        <v>84</v>
      </c>
      <c r="J30" s="103" t="s">
        <v>134</v>
      </c>
      <c r="K30" s="103" t="s">
        <v>778</v>
      </c>
      <c r="L30" s="42"/>
    </row>
    <row r="31" spans="2:12" ht="24.75" thickBot="1" x14ac:dyDescent="0.3">
      <c r="B31" s="49" t="s">
        <v>779</v>
      </c>
      <c r="C31" s="46" t="s">
        <v>780</v>
      </c>
      <c r="D31" s="42" t="s">
        <v>781</v>
      </c>
      <c r="E31" s="104">
        <v>46023</v>
      </c>
      <c r="F31" s="104">
        <v>46023</v>
      </c>
      <c r="G31" s="103" t="s">
        <v>711</v>
      </c>
      <c r="H31" s="103">
        <v>200</v>
      </c>
      <c r="I31" s="103">
        <v>200</v>
      </c>
      <c r="J31" s="103" t="s">
        <v>48</v>
      </c>
      <c r="K31" s="103" t="s">
        <v>782</v>
      </c>
      <c r="L31" s="42"/>
    </row>
    <row r="32" spans="2:12" ht="36.75" thickBot="1" x14ac:dyDescent="0.3">
      <c r="B32" s="49" t="s">
        <v>783</v>
      </c>
      <c r="C32" s="46" t="s">
        <v>784</v>
      </c>
      <c r="D32" s="120" t="s">
        <v>785</v>
      </c>
      <c r="E32" s="106">
        <v>46054</v>
      </c>
      <c r="F32" s="106">
        <v>46054</v>
      </c>
      <c r="G32" s="103" t="s">
        <v>734</v>
      </c>
      <c r="H32" s="103">
        <v>202.4</v>
      </c>
      <c r="I32" s="103">
        <v>230</v>
      </c>
      <c r="J32" s="103" t="s">
        <v>159</v>
      </c>
      <c r="K32" s="103" t="s">
        <v>786</v>
      </c>
      <c r="L32" s="42"/>
    </row>
    <row r="33" spans="2:12" ht="36.75" thickBot="1" x14ac:dyDescent="0.3">
      <c r="B33" s="49" t="s">
        <v>763</v>
      </c>
      <c r="C33" s="46" t="s">
        <v>764</v>
      </c>
      <c r="D33" s="42" t="s">
        <v>765</v>
      </c>
      <c r="E33" s="104">
        <v>45962</v>
      </c>
      <c r="F33" s="104">
        <v>46082</v>
      </c>
      <c r="G33" s="103" t="s">
        <v>704</v>
      </c>
      <c r="H33" s="105">
        <v>139.69999999999999</v>
      </c>
      <c r="I33" s="105">
        <v>151.4</v>
      </c>
      <c r="J33" s="103" t="s">
        <v>43</v>
      </c>
      <c r="K33" s="103" t="s">
        <v>766</v>
      </c>
      <c r="L33" s="42"/>
    </row>
    <row r="34" spans="2:12" ht="60.75" thickBot="1" x14ac:dyDescent="0.3">
      <c r="B34" s="49" t="s">
        <v>787</v>
      </c>
      <c r="C34" s="46" t="s">
        <v>788</v>
      </c>
      <c r="D34" s="42" t="s">
        <v>789</v>
      </c>
      <c r="E34" s="104">
        <v>46082</v>
      </c>
      <c r="F34" s="104">
        <v>46082</v>
      </c>
      <c r="G34" s="103" t="s">
        <v>704</v>
      </c>
      <c r="H34" s="103">
        <v>90</v>
      </c>
      <c r="I34" s="103">
        <v>90</v>
      </c>
      <c r="J34" s="103" t="s">
        <v>384</v>
      </c>
      <c r="K34" s="103" t="s">
        <v>790</v>
      </c>
      <c r="L34" s="42"/>
    </row>
    <row r="35" spans="2:12" ht="24.75" thickBot="1" x14ac:dyDescent="0.3">
      <c r="B35" s="49" t="s">
        <v>791</v>
      </c>
      <c r="C35" s="46" t="s">
        <v>764</v>
      </c>
      <c r="D35" s="42" t="s">
        <v>792</v>
      </c>
      <c r="E35" s="104">
        <v>46113</v>
      </c>
      <c r="F35" s="104">
        <v>46113</v>
      </c>
      <c r="G35" s="103" t="s">
        <v>650</v>
      </c>
      <c r="H35" s="105">
        <v>165</v>
      </c>
      <c r="I35" s="105">
        <v>165</v>
      </c>
      <c r="J35" s="103" t="s">
        <v>129</v>
      </c>
      <c r="K35" s="103" t="s">
        <v>793</v>
      </c>
      <c r="L35" s="42"/>
    </row>
    <row r="36" spans="2:12" ht="36.75" thickBot="1" x14ac:dyDescent="0.3">
      <c r="B36" s="49" t="s">
        <v>794</v>
      </c>
      <c r="C36" s="46" t="s">
        <v>764</v>
      </c>
      <c r="D36" s="42" t="s">
        <v>795</v>
      </c>
      <c r="E36" s="95">
        <v>46143</v>
      </c>
      <c r="F36" s="95">
        <v>46143</v>
      </c>
      <c r="G36" s="46" t="s">
        <v>650</v>
      </c>
      <c r="H36" s="94">
        <v>126</v>
      </c>
      <c r="I36" s="94">
        <v>126</v>
      </c>
      <c r="J36" s="46" t="s">
        <v>159</v>
      </c>
      <c r="K36" s="46" t="s">
        <v>796</v>
      </c>
      <c r="L36" s="42"/>
    </row>
    <row r="37" spans="2:12" ht="36.75" thickBot="1" x14ac:dyDescent="0.3">
      <c r="B37" s="49" t="s">
        <v>797</v>
      </c>
      <c r="C37" s="46" t="s">
        <v>764</v>
      </c>
      <c r="D37" s="42" t="s">
        <v>795</v>
      </c>
      <c r="E37" s="95">
        <v>46143</v>
      </c>
      <c r="F37" s="95">
        <v>46143</v>
      </c>
      <c r="G37" s="46" t="s">
        <v>650</v>
      </c>
      <c r="H37" s="94">
        <v>180</v>
      </c>
      <c r="I37" s="94">
        <v>180</v>
      </c>
      <c r="J37" s="46" t="s">
        <v>159</v>
      </c>
      <c r="K37" s="46" t="s">
        <v>796</v>
      </c>
      <c r="L37" s="42"/>
    </row>
    <row r="38" spans="2:12" ht="84.75" thickBot="1" x14ac:dyDescent="0.3">
      <c r="B38" s="50" t="s">
        <v>798</v>
      </c>
      <c r="C38" s="92" t="s">
        <v>799</v>
      </c>
      <c r="D38" s="42" t="s">
        <v>425</v>
      </c>
      <c r="E38" s="97">
        <v>44774</v>
      </c>
      <c r="F38" s="97">
        <v>46174</v>
      </c>
      <c r="G38" s="92" t="s">
        <v>648</v>
      </c>
      <c r="H38" s="96">
        <v>48.7</v>
      </c>
      <c r="I38" s="96">
        <v>53.6</v>
      </c>
      <c r="J38" s="92" t="s">
        <v>800</v>
      </c>
      <c r="K38" s="92" t="s">
        <v>801</v>
      </c>
      <c r="L38" s="42"/>
    </row>
    <row r="39" spans="2:12" ht="60.75" thickBot="1" x14ac:dyDescent="0.3">
      <c r="B39" s="50" t="s">
        <v>802</v>
      </c>
      <c r="C39" s="92" t="s">
        <v>803</v>
      </c>
      <c r="D39" s="92" t="s">
        <v>804</v>
      </c>
      <c r="E39" s="97">
        <v>46174</v>
      </c>
      <c r="F39" s="97">
        <v>46174</v>
      </c>
      <c r="G39" s="92" t="s">
        <v>734</v>
      </c>
      <c r="H39" s="96">
        <v>400</v>
      </c>
      <c r="I39" s="96">
        <v>400</v>
      </c>
      <c r="J39" s="92" t="s">
        <v>159</v>
      </c>
      <c r="K39" s="92" t="s">
        <v>805</v>
      </c>
      <c r="L39" s="45"/>
    </row>
    <row r="40" spans="2:12" ht="36.75" thickBot="1" x14ac:dyDescent="0.3">
      <c r="B40" s="49" t="s">
        <v>656</v>
      </c>
      <c r="C40" s="46" t="s">
        <v>657</v>
      </c>
      <c r="D40" s="92" t="s">
        <v>110</v>
      </c>
      <c r="E40" s="95">
        <v>45108</v>
      </c>
      <c r="F40" s="95">
        <v>46204</v>
      </c>
      <c r="G40" s="46" t="s">
        <v>654</v>
      </c>
      <c r="H40" s="94">
        <v>9</v>
      </c>
      <c r="I40" s="94">
        <v>10.8</v>
      </c>
      <c r="J40" s="46" t="s">
        <v>159</v>
      </c>
      <c r="K40" s="46" t="s">
        <v>658</v>
      </c>
      <c r="L40" s="42"/>
    </row>
    <row r="41" spans="2:12" ht="36.75" thickBot="1" x14ac:dyDescent="0.3">
      <c r="B41" s="50" t="s">
        <v>724</v>
      </c>
      <c r="C41" s="92" t="s">
        <v>725</v>
      </c>
      <c r="D41" s="92" t="s">
        <v>726</v>
      </c>
      <c r="E41" s="97">
        <v>45597</v>
      </c>
      <c r="F41" s="97">
        <v>46204</v>
      </c>
      <c r="G41" s="92" t="s">
        <v>704</v>
      </c>
      <c r="H41" s="96">
        <v>187</v>
      </c>
      <c r="I41" s="96">
        <v>220</v>
      </c>
      <c r="J41" s="92" t="s">
        <v>134</v>
      </c>
      <c r="K41" s="92" t="s">
        <v>727</v>
      </c>
      <c r="L41" s="42"/>
    </row>
    <row r="42" spans="2:12" ht="24.75" thickBot="1" x14ac:dyDescent="0.3">
      <c r="B42" s="49" t="s">
        <v>742</v>
      </c>
      <c r="C42" s="46" t="s">
        <v>743</v>
      </c>
      <c r="D42" s="92" t="s">
        <v>744</v>
      </c>
      <c r="E42" s="54">
        <v>45870</v>
      </c>
      <c r="F42" s="95">
        <v>46235</v>
      </c>
      <c r="G42" s="46" t="s">
        <v>654</v>
      </c>
      <c r="H42" s="94">
        <v>9</v>
      </c>
      <c r="I42" s="94">
        <v>9</v>
      </c>
      <c r="J42" s="46" t="s">
        <v>316</v>
      </c>
      <c r="K42" s="46" t="s">
        <v>745</v>
      </c>
      <c r="L42" s="42"/>
    </row>
    <row r="43" spans="2:12" ht="24.75" thickBot="1" x14ac:dyDescent="0.3">
      <c r="B43" s="49" t="s">
        <v>746</v>
      </c>
      <c r="C43" s="46" t="s">
        <v>747</v>
      </c>
      <c r="D43" s="92" t="s">
        <v>748</v>
      </c>
      <c r="E43" s="54">
        <v>45870</v>
      </c>
      <c r="F43" s="95">
        <v>46235</v>
      </c>
      <c r="G43" s="46" t="s">
        <v>654</v>
      </c>
      <c r="H43" s="94">
        <v>9</v>
      </c>
      <c r="I43" s="94">
        <v>9</v>
      </c>
      <c r="J43" s="46" t="s">
        <v>316</v>
      </c>
      <c r="K43" s="46" t="s">
        <v>745</v>
      </c>
      <c r="L43" s="42"/>
    </row>
    <row r="44" spans="2:12" ht="36.75" thickBot="1" x14ac:dyDescent="0.3">
      <c r="B44" s="50" t="s">
        <v>834</v>
      </c>
      <c r="C44" s="92" t="s">
        <v>835</v>
      </c>
      <c r="D44" s="92" t="s">
        <v>836</v>
      </c>
      <c r="E44" s="56">
        <v>46235</v>
      </c>
      <c r="F44" s="97">
        <v>46235</v>
      </c>
      <c r="G44" s="92" t="s">
        <v>734</v>
      </c>
      <c r="H44" s="96">
        <v>255</v>
      </c>
      <c r="I44" s="96">
        <v>277.5</v>
      </c>
      <c r="J44" s="92" t="s">
        <v>316</v>
      </c>
      <c r="K44" s="92" t="s">
        <v>837</v>
      </c>
      <c r="L44" s="45"/>
    </row>
    <row r="45" spans="2:12" ht="36.75" thickBot="1" x14ac:dyDescent="0.3">
      <c r="B45" s="49" t="s">
        <v>806</v>
      </c>
      <c r="C45" s="46" t="s">
        <v>807</v>
      </c>
      <c r="D45" s="92" t="s">
        <v>808</v>
      </c>
      <c r="E45" s="54">
        <v>46266</v>
      </c>
      <c r="F45" s="95">
        <v>46266</v>
      </c>
      <c r="G45" s="46" t="s">
        <v>734</v>
      </c>
      <c r="H45" s="94">
        <v>82</v>
      </c>
      <c r="I45" s="94">
        <v>82.1</v>
      </c>
      <c r="J45" s="46" t="s">
        <v>316</v>
      </c>
      <c r="K45" s="46" t="s">
        <v>809</v>
      </c>
      <c r="L45" s="42"/>
    </row>
    <row r="46" spans="2:12" ht="36.75" thickBot="1" x14ac:dyDescent="0.3">
      <c r="B46" s="49" t="s">
        <v>815</v>
      </c>
      <c r="C46" s="46" t="s">
        <v>816</v>
      </c>
      <c r="D46" s="92" t="s">
        <v>817</v>
      </c>
      <c r="E46" s="54">
        <v>46296</v>
      </c>
      <c r="F46" s="95">
        <v>46296</v>
      </c>
      <c r="G46" s="46" t="s">
        <v>689</v>
      </c>
      <c r="H46" s="94">
        <v>9</v>
      </c>
      <c r="I46" s="94">
        <v>11.2</v>
      </c>
      <c r="J46" s="46" t="s">
        <v>43</v>
      </c>
      <c r="K46" s="46" t="s">
        <v>818</v>
      </c>
      <c r="L46" s="42"/>
    </row>
    <row r="47" spans="2:12" ht="36.75" thickBot="1" x14ac:dyDescent="0.3">
      <c r="B47" s="88" t="s">
        <v>819</v>
      </c>
      <c r="C47" s="89" t="s">
        <v>820</v>
      </c>
      <c r="D47" s="42" t="s">
        <v>821</v>
      </c>
      <c r="E47" s="90">
        <v>46296</v>
      </c>
      <c r="F47" s="90">
        <v>46296</v>
      </c>
      <c r="G47" s="89" t="s">
        <v>704</v>
      </c>
      <c r="H47" s="91">
        <v>220</v>
      </c>
      <c r="I47" s="91">
        <v>229</v>
      </c>
      <c r="J47" s="89" t="s">
        <v>159</v>
      </c>
      <c r="K47" s="89" t="s">
        <v>822</v>
      </c>
      <c r="L47" s="42" t="s">
        <v>823</v>
      </c>
    </row>
    <row r="48" spans="2:12" ht="36.75" thickBot="1" x14ac:dyDescent="0.3">
      <c r="B48" s="49" t="s">
        <v>824</v>
      </c>
      <c r="C48" s="46" t="s">
        <v>820</v>
      </c>
      <c r="D48" s="92" t="s">
        <v>821</v>
      </c>
      <c r="E48" s="54">
        <v>46296</v>
      </c>
      <c r="F48" s="95">
        <v>46296</v>
      </c>
      <c r="G48" s="46" t="s">
        <v>650</v>
      </c>
      <c r="H48" s="94">
        <v>128</v>
      </c>
      <c r="I48" s="94">
        <v>128</v>
      </c>
      <c r="J48" s="46" t="s">
        <v>159</v>
      </c>
      <c r="K48" s="46" t="s">
        <v>822</v>
      </c>
      <c r="L48" s="42" t="s">
        <v>823</v>
      </c>
    </row>
    <row r="49" spans="2:12" ht="48.75" thickBot="1" x14ac:dyDescent="0.3">
      <c r="B49" s="41" t="s">
        <v>829</v>
      </c>
      <c r="C49" s="42" t="s">
        <v>830</v>
      </c>
      <c r="D49" s="42" t="s">
        <v>831</v>
      </c>
      <c r="E49" s="43">
        <v>46447</v>
      </c>
      <c r="F49" s="43">
        <v>46447</v>
      </c>
      <c r="G49" s="42" t="s">
        <v>704</v>
      </c>
      <c r="H49" s="44">
        <v>168</v>
      </c>
      <c r="I49" s="44">
        <v>168</v>
      </c>
      <c r="J49" s="42" t="s">
        <v>134</v>
      </c>
      <c r="K49" s="42" t="s">
        <v>832</v>
      </c>
      <c r="L49" s="45" t="s">
        <v>833</v>
      </c>
    </row>
    <row r="50" spans="2:12" ht="48.75" thickBot="1" x14ac:dyDescent="0.3">
      <c r="B50" s="41" t="s">
        <v>1481</v>
      </c>
      <c r="C50" s="42" t="s">
        <v>1482</v>
      </c>
      <c r="D50" s="42" t="s">
        <v>1505</v>
      </c>
      <c r="E50" s="43">
        <v>46447</v>
      </c>
      <c r="F50" s="43">
        <v>46447</v>
      </c>
      <c r="G50" s="42" t="s">
        <v>734</v>
      </c>
      <c r="H50" s="44">
        <v>159</v>
      </c>
      <c r="I50" s="44">
        <v>186.6</v>
      </c>
      <c r="J50" s="42" t="s">
        <v>159</v>
      </c>
      <c r="K50" s="42" t="s">
        <v>1483</v>
      </c>
      <c r="L50" s="45"/>
    </row>
    <row r="51" spans="2:12" ht="48.75" thickBot="1" x14ac:dyDescent="0.3">
      <c r="B51" s="88" t="s">
        <v>825</v>
      </c>
      <c r="C51" s="89" t="s">
        <v>826</v>
      </c>
      <c r="D51" s="42" t="s">
        <v>827</v>
      </c>
      <c r="E51" s="90">
        <v>46478</v>
      </c>
      <c r="F51" s="90">
        <v>46478</v>
      </c>
      <c r="G51" s="89" t="s">
        <v>704</v>
      </c>
      <c r="H51" s="91">
        <v>145</v>
      </c>
      <c r="I51" s="91">
        <v>145</v>
      </c>
      <c r="J51" s="89" t="s">
        <v>48</v>
      </c>
      <c r="K51" s="89" t="s">
        <v>828</v>
      </c>
      <c r="L51" s="42"/>
    </row>
    <row r="52" spans="2:12" ht="36.75" thickBot="1" x14ac:dyDescent="0.3">
      <c r="B52" s="109" t="s">
        <v>810</v>
      </c>
      <c r="C52" s="17" t="s">
        <v>811</v>
      </c>
      <c r="D52" s="42" t="s">
        <v>812</v>
      </c>
      <c r="E52" s="14">
        <v>45901</v>
      </c>
      <c r="F52" s="14">
        <v>46661</v>
      </c>
      <c r="G52" s="17" t="s">
        <v>704</v>
      </c>
      <c r="H52" s="44">
        <v>109.7</v>
      </c>
      <c r="I52" s="44">
        <v>120</v>
      </c>
      <c r="J52" s="17" t="s">
        <v>813</v>
      </c>
      <c r="K52" s="17" t="s">
        <v>814</v>
      </c>
      <c r="L52" s="42"/>
    </row>
    <row r="53" spans="2:12" ht="60.75" thickBot="1" x14ac:dyDescent="0.3">
      <c r="B53" s="41" t="s">
        <v>645</v>
      </c>
      <c r="C53" s="42" t="s">
        <v>646</v>
      </c>
      <c r="D53" s="42" t="s">
        <v>647</v>
      </c>
      <c r="E53" s="43">
        <v>44166</v>
      </c>
      <c r="F53" s="43">
        <v>46722</v>
      </c>
      <c r="G53" s="42" t="s">
        <v>648</v>
      </c>
      <c r="H53" s="44">
        <v>20</v>
      </c>
      <c r="I53" s="44">
        <v>20</v>
      </c>
      <c r="J53" s="42" t="s">
        <v>68</v>
      </c>
      <c r="K53" s="42" t="s">
        <v>649</v>
      </c>
      <c r="L53" s="42"/>
    </row>
    <row r="54" spans="2:12" ht="48.75" thickBot="1" x14ac:dyDescent="0.3">
      <c r="B54" s="88" t="s">
        <v>721</v>
      </c>
      <c r="C54" s="89" t="s">
        <v>722</v>
      </c>
      <c r="D54" s="42" t="s">
        <v>128</v>
      </c>
      <c r="E54" s="90">
        <v>45261</v>
      </c>
      <c r="F54" s="90">
        <v>46722</v>
      </c>
      <c r="G54" s="89" t="s">
        <v>704</v>
      </c>
      <c r="H54" s="91">
        <v>100</v>
      </c>
      <c r="I54" s="44">
        <v>123.2</v>
      </c>
      <c r="J54" s="89" t="s">
        <v>316</v>
      </c>
      <c r="K54" s="89" t="s">
        <v>723</v>
      </c>
      <c r="L54" s="42"/>
    </row>
    <row r="55" spans="2:12" x14ac:dyDescent="0.25">
      <c r="B55" s="3" t="s">
        <v>644</v>
      </c>
    </row>
    <row r="56" spans="2:12" x14ac:dyDescent="0.25"/>
    <row r="57" spans="2:12" x14ac:dyDescent="0.25"/>
    <row r="58" spans="2:12" x14ac:dyDescent="0.25"/>
  </sheetData>
  <autoFilter ref="B3:L55" xr:uid="{00000000-0001-0000-0300-000000000000}"/>
  <phoneticPr fontId="15"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E512E-9510-4EAC-A762-FDD6962C63F7}">
  <sheetPr codeName="Hoja1">
    <tabColor theme="9" tint="0.39997558519241921"/>
  </sheetPr>
  <dimension ref="A1:R59"/>
  <sheetViews>
    <sheetView showGridLines="0" tabSelected="1" zoomScaleNormal="100" workbookViewId="0">
      <selection activeCell="I5" sqref="I5"/>
    </sheetView>
  </sheetViews>
  <sheetFormatPr baseColWidth="10" defaultColWidth="0" defaultRowHeight="15" zeroHeight="1" x14ac:dyDescent="0.25"/>
  <cols>
    <col min="1" max="1" width="11.42578125" style="3" customWidth="1"/>
    <col min="2" max="2" width="12.42578125" style="3" customWidth="1"/>
    <col min="3" max="3" width="12.5703125" style="3" customWidth="1"/>
    <col min="4" max="4" width="11.42578125" style="3" customWidth="1"/>
    <col min="5" max="5" width="12" style="3" customWidth="1"/>
    <col min="6" max="9" width="11.42578125" style="3" customWidth="1"/>
    <col min="10" max="14" width="12.28515625" style="3" customWidth="1"/>
    <col min="15" max="15" width="11.42578125" style="37" customWidth="1"/>
    <col min="16" max="16" width="49.42578125" style="3" customWidth="1"/>
    <col min="17" max="18" width="8.85546875" style="3" customWidth="1"/>
    <col min="19" max="16384" width="8.85546875" style="3" hidden="1"/>
  </cols>
  <sheetData>
    <row r="1" spans="1:16" x14ac:dyDescent="0.25">
      <c r="A1" s="8" t="s">
        <v>838</v>
      </c>
      <c r="B1" s="8"/>
      <c r="C1" s="8"/>
      <c r="D1" s="8"/>
      <c r="E1" s="8"/>
      <c r="F1" s="8"/>
      <c r="G1" s="8"/>
    </row>
    <row r="2" spans="1:16" ht="15.75" thickBot="1" x14ac:dyDescent="0.3"/>
    <row r="3" spans="1:16" ht="48.75" thickBot="1" x14ac:dyDescent="0.3">
      <c r="B3" s="6" t="s">
        <v>16</v>
      </c>
      <c r="C3" s="7" t="s">
        <v>17</v>
      </c>
      <c r="D3" s="7" t="s">
        <v>18</v>
      </c>
      <c r="E3" s="7" t="s">
        <v>19</v>
      </c>
      <c r="F3" s="7" t="s">
        <v>20</v>
      </c>
      <c r="G3" s="7" t="s">
        <v>21</v>
      </c>
      <c r="H3" s="7" t="s">
        <v>22</v>
      </c>
      <c r="I3" s="7" t="s">
        <v>839</v>
      </c>
      <c r="J3" s="7" t="s">
        <v>840</v>
      </c>
      <c r="K3" s="7" t="s">
        <v>841</v>
      </c>
      <c r="L3" s="7" t="s">
        <v>842</v>
      </c>
      <c r="M3" s="7" t="s">
        <v>843</v>
      </c>
      <c r="N3" s="7" t="s">
        <v>24</v>
      </c>
      <c r="O3" s="7" t="s">
        <v>25</v>
      </c>
      <c r="P3" s="7" t="s">
        <v>26</v>
      </c>
    </row>
    <row r="4" spans="1:16" ht="108.75" thickBot="1" x14ac:dyDescent="0.3">
      <c r="B4" s="52" t="s">
        <v>686</v>
      </c>
      <c r="C4" s="51" t="s">
        <v>687</v>
      </c>
      <c r="D4" s="42" t="s">
        <v>688</v>
      </c>
      <c r="E4" s="53">
        <v>45413</v>
      </c>
      <c r="F4" s="53">
        <v>45413</v>
      </c>
      <c r="G4" s="51" t="s">
        <v>689</v>
      </c>
      <c r="H4" s="101">
        <v>2.9</v>
      </c>
      <c r="I4" s="101">
        <v>2.2999999999999998</v>
      </c>
      <c r="J4" s="46" t="s">
        <v>686</v>
      </c>
      <c r="K4" s="94">
        <v>3</v>
      </c>
      <c r="L4" s="46">
        <v>0</v>
      </c>
      <c r="M4" s="46" t="s">
        <v>844</v>
      </c>
      <c r="N4" s="51" t="s">
        <v>514</v>
      </c>
      <c r="O4" s="51" t="s">
        <v>691</v>
      </c>
      <c r="P4" s="42" t="s">
        <v>38</v>
      </c>
    </row>
    <row r="5" spans="1:16" ht="108.75" thickBot="1" x14ac:dyDescent="0.3">
      <c r="B5" s="102" t="s">
        <v>845</v>
      </c>
      <c r="C5" s="103" t="s">
        <v>846</v>
      </c>
      <c r="D5" s="42" t="s">
        <v>847</v>
      </c>
      <c r="E5" s="104">
        <v>45717</v>
      </c>
      <c r="F5" s="104">
        <v>45717</v>
      </c>
      <c r="G5" s="103" t="s">
        <v>848</v>
      </c>
      <c r="H5" s="105">
        <v>141</v>
      </c>
      <c r="I5" s="91">
        <v>423.1</v>
      </c>
      <c r="J5" s="102" t="s">
        <v>849</v>
      </c>
      <c r="K5" s="94">
        <v>141</v>
      </c>
      <c r="L5" s="110">
        <v>0</v>
      </c>
      <c r="M5" s="46" t="s">
        <v>844</v>
      </c>
      <c r="N5" s="103" t="s">
        <v>316</v>
      </c>
      <c r="O5" s="103" t="s">
        <v>850</v>
      </c>
      <c r="P5" s="42" t="s">
        <v>38</v>
      </c>
    </row>
    <row r="6" spans="1:16" ht="108.75" thickBot="1" x14ac:dyDescent="0.3">
      <c r="B6" s="98" t="s">
        <v>731</v>
      </c>
      <c r="C6" s="99" t="s">
        <v>732</v>
      </c>
      <c r="D6" s="42" t="s">
        <v>851</v>
      </c>
      <c r="E6" s="108">
        <v>45748</v>
      </c>
      <c r="F6" s="108">
        <v>45748</v>
      </c>
      <c r="G6" s="15" t="s">
        <v>734</v>
      </c>
      <c r="H6" s="101">
        <v>220</v>
      </c>
      <c r="I6" s="101">
        <v>1100</v>
      </c>
      <c r="J6" s="49" t="s">
        <v>852</v>
      </c>
      <c r="K6" s="105">
        <v>260.7</v>
      </c>
      <c r="L6" s="89">
        <v>0</v>
      </c>
      <c r="M6" s="46" t="s">
        <v>844</v>
      </c>
      <c r="N6" s="15" t="s">
        <v>159</v>
      </c>
      <c r="O6" s="15" t="s">
        <v>736</v>
      </c>
      <c r="P6" s="42" t="s">
        <v>38</v>
      </c>
    </row>
    <row r="7" spans="1:16" ht="108.75" thickBot="1" x14ac:dyDescent="0.3">
      <c r="B7" s="49" t="s">
        <v>853</v>
      </c>
      <c r="C7" s="46" t="s">
        <v>854</v>
      </c>
      <c r="D7" s="42" t="s">
        <v>855</v>
      </c>
      <c r="E7" s="104">
        <v>45809</v>
      </c>
      <c r="F7" s="104">
        <v>45809</v>
      </c>
      <c r="G7" s="103" t="s">
        <v>848</v>
      </c>
      <c r="H7" s="103">
        <v>10</v>
      </c>
      <c r="I7" s="103">
        <v>50</v>
      </c>
      <c r="J7" s="49" t="s">
        <v>856</v>
      </c>
      <c r="K7" s="105">
        <v>14.1</v>
      </c>
      <c r="L7" s="42">
        <v>0</v>
      </c>
      <c r="M7" s="46" t="s">
        <v>844</v>
      </c>
      <c r="N7" s="103" t="s">
        <v>43</v>
      </c>
      <c r="O7" s="105" t="s">
        <v>857</v>
      </c>
      <c r="P7" s="42" t="s">
        <v>38</v>
      </c>
    </row>
    <row r="8" spans="1:16" ht="60.75" thickBot="1" x14ac:dyDescent="0.3">
      <c r="B8" s="50" t="s">
        <v>860</v>
      </c>
      <c r="C8" s="92" t="s">
        <v>861</v>
      </c>
      <c r="D8" s="42" t="s">
        <v>862</v>
      </c>
      <c r="E8" s="53">
        <v>45870</v>
      </c>
      <c r="F8" s="53">
        <v>45870</v>
      </c>
      <c r="G8" s="51" t="s">
        <v>848</v>
      </c>
      <c r="H8" s="101">
        <v>60</v>
      </c>
      <c r="I8" s="101">
        <v>250</v>
      </c>
      <c r="J8" s="97" t="s">
        <v>863</v>
      </c>
      <c r="K8" s="51">
        <v>187.1</v>
      </c>
      <c r="L8" s="44" t="s">
        <v>864</v>
      </c>
      <c r="M8" s="96" t="s">
        <v>844</v>
      </c>
      <c r="N8" s="51" t="s">
        <v>43</v>
      </c>
      <c r="O8" s="51" t="s">
        <v>865</v>
      </c>
      <c r="P8" s="42" t="s">
        <v>866</v>
      </c>
    </row>
    <row r="9" spans="1:16" ht="36.75" thickBot="1" x14ac:dyDescent="0.3">
      <c r="B9" s="49" t="s">
        <v>867</v>
      </c>
      <c r="C9" s="46" t="s">
        <v>760</v>
      </c>
      <c r="D9" s="92" t="s">
        <v>761</v>
      </c>
      <c r="E9" s="104">
        <v>45931</v>
      </c>
      <c r="F9" s="95">
        <v>45931</v>
      </c>
      <c r="G9" s="46" t="s">
        <v>734</v>
      </c>
      <c r="H9" s="94">
        <v>200</v>
      </c>
      <c r="I9" s="94">
        <v>1000</v>
      </c>
      <c r="J9" s="49" t="s">
        <v>759</v>
      </c>
      <c r="K9" s="105">
        <v>200</v>
      </c>
      <c r="L9" s="45">
        <v>0</v>
      </c>
      <c r="M9" s="46" t="s">
        <v>844</v>
      </c>
      <c r="N9" s="103" t="s">
        <v>134</v>
      </c>
      <c r="O9" s="103" t="s">
        <v>762</v>
      </c>
      <c r="P9" s="45"/>
    </row>
    <row r="10" spans="1:16" ht="36.75" thickBot="1" x14ac:dyDescent="0.3">
      <c r="B10" s="49" t="s">
        <v>868</v>
      </c>
      <c r="C10" s="46" t="s">
        <v>869</v>
      </c>
      <c r="D10" s="42" t="s">
        <v>870</v>
      </c>
      <c r="E10" s="104">
        <v>45962</v>
      </c>
      <c r="F10" s="95">
        <v>45962</v>
      </c>
      <c r="G10" s="46" t="s">
        <v>848</v>
      </c>
      <c r="H10" s="94">
        <v>98</v>
      </c>
      <c r="I10" s="94">
        <v>490</v>
      </c>
      <c r="J10" s="49" t="s">
        <v>871</v>
      </c>
      <c r="K10" s="105">
        <v>89.5</v>
      </c>
      <c r="L10" s="111">
        <v>0</v>
      </c>
      <c r="M10" s="46" t="s">
        <v>844</v>
      </c>
      <c r="N10" s="103" t="s">
        <v>134</v>
      </c>
      <c r="O10" s="103" t="s">
        <v>872</v>
      </c>
      <c r="P10" s="45"/>
    </row>
    <row r="11" spans="1:16" ht="24.75" thickBot="1" x14ac:dyDescent="0.3">
      <c r="B11" s="49" t="s">
        <v>873</v>
      </c>
      <c r="C11" s="46" t="s">
        <v>874</v>
      </c>
      <c r="D11" s="92" t="s">
        <v>875</v>
      </c>
      <c r="E11" s="104">
        <v>45962</v>
      </c>
      <c r="F11" s="95">
        <v>45962</v>
      </c>
      <c r="G11" s="46" t="s">
        <v>848</v>
      </c>
      <c r="H11" s="46">
        <v>300</v>
      </c>
      <c r="I11" s="46">
        <v>900</v>
      </c>
      <c r="J11" s="102" t="s">
        <v>864</v>
      </c>
      <c r="K11" s="94" t="s">
        <v>864</v>
      </c>
      <c r="L11" s="45" t="s">
        <v>864</v>
      </c>
      <c r="M11" s="46" t="s">
        <v>844</v>
      </c>
      <c r="N11" s="103" t="s">
        <v>159</v>
      </c>
      <c r="O11" s="103" t="s">
        <v>876</v>
      </c>
      <c r="P11" s="45"/>
    </row>
    <row r="12" spans="1:16" ht="36.75" thickBot="1" x14ac:dyDescent="0.3">
      <c r="B12" s="49" t="s">
        <v>877</v>
      </c>
      <c r="C12" s="46" t="s">
        <v>878</v>
      </c>
      <c r="D12" s="112" t="s">
        <v>879</v>
      </c>
      <c r="E12" s="104">
        <v>45962</v>
      </c>
      <c r="F12" s="95">
        <v>45962</v>
      </c>
      <c r="G12" s="46" t="s">
        <v>848</v>
      </c>
      <c r="H12" s="46">
        <v>228</v>
      </c>
      <c r="I12" s="46">
        <v>912</v>
      </c>
      <c r="J12" s="102" t="s">
        <v>864</v>
      </c>
      <c r="K12" s="94" t="s">
        <v>864</v>
      </c>
      <c r="L12" s="45" t="s">
        <v>864</v>
      </c>
      <c r="M12" s="46"/>
      <c r="N12" s="103" t="s">
        <v>514</v>
      </c>
      <c r="O12" s="105" t="s">
        <v>880</v>
      </c>
      <c r="P12" s="45"/>
    </row>
    <row r="13" spans="1:16" ht="108.75" thickBot="1" x14ac:dyDescent="0.3">
      <c r="B13" s="49" t="s">
        <v>881</v>
      </c>
      <c r="C13" s="46" t="s">
        <v>517</v>
      </c>
      <c r="D13" s="92" t="s">
        <v>518</v>
      </c>
      <c r="E13" s="104">
        <v>45992</v>
      </c>
      <c r="F13" s="95">
        <v>45992</v>
      </c>
      <c r="G13" s="46" t="s">
        <v>497</v>
      </c>
      <c r="H13" s="46">
        <v>5</v>
      </c>
      <c r="I13" s="46">
        <v>28.8</v>
      </c>
      <c r="J13" s="102" t="s">
        <v>516</v>
      </c>
      <c r="K13" s="94">
        <v>5</v>
      </c>
      <c r="L13" s="45">
        <v>0</v>
      </c>
      <c r="M13" s="46" t="s">
        <v>858</v>
      </c>
      <c r="N13" s="103" t="s">
        <v>111</v>
      </c>
      <c r="O13" s="103" t="s">
        <v>519</v>
      </c>
      <c r="P13" s="42" t="s">
        <v>38</v>
      </c>
    </row>
    <row r="14" spans="1:16" ht="36.75" thickBot="1" x14ac:dyDescent="0.3">
      <c r="B14" s="49" t="s">
        <v>882</v>
      </c>
      <c r="C14" s="46" t="s">
        <v>883</v>
      </c>
      <c r="D14" s="92" t="s">
        <v>884</v>
      </c>
      <c r="E14" s="104">
        <v>45992</v>
      </c>
      <c r="F14" s="95">
        <v>45992</v>
      </c>
      <c r="G14" s="46" t="s">
        <v>848</v>
      </c>
      <c r="H14" s="46">
        <v>50</v>
      </c>
      <c r="I14" s="46">
        <v>200</v>
      </c>
      <c r="J14" s="102" t="s">
        <v>885</v>
      </c>
      <c r="K14" s="94">
        <v>108</v>
      </c>
      <c r="L14" s="45">
        <v>0</v>
      </c>
      <c r="M14" s="46" t="s">
        <v>844</v>
      </c>
      <c r="N14" s="103" t="s">
        <v>48</v>
      </c>
      <c r="O14" s="105" t="s">
        <v>886</v>
      </c>
      <c r="P14" s="45"/>
    </row>
    <row r="15" spans="1:16" ht="96.75" thickBot="1" x14ac:dyDescent="0.3">
      <c r="B15" s="49" t="s">
        <v>887</v>
      </c>
      <c r="C15" s="46" t="s">
        <v>888</v>
      </c>
      <c r="D15" s="112" t="s">
        <v>889</v>
      </c>
      <c r="E15" s="104">
        <v>45992</v>
      </c>
      <c r="F15" s="95">
        <v>45992</v>
      </c>
      <c r="G15" s="46" t="s">
        <v>848</v>
      </c>
      <c r="H15" s="46">
        <v>220</v>
      </c>
      <c r="I15" s="46">
        <v>1100</v>
      </c>
      <c r="J15" s="102" t="s">
        <v>864</v>
      </c>
      <c r="K15" s="94" t="s">
        <v>864</v>
      </c>
      <c r="L15" s="45" t="s">
        <v>864</v>
      </c>
      <c r="M15" s="46" t="s">
        <v>844</v>
      </c>
      <c r="N15" s="102" t="s">
        <v>159</v>
      </c>
      <c r="O15" s="94" t="s">
        <v>890</v>
      </c>
      <c r="P15" s="45"/>
    </row>
    <row r="16" spans="1:16" ht="36.75" thickBot="1" x14ac:dyDescent="0.3">
      <c r="B16" s="50" t="s">
        <v>891</v>
      </c>
      <c r="C16" s="92" t="s">
        <v>892</v>
      </c>
      <c r="D16" s="92" t="s">
        <v>893</v>
      </c>
      <c r="E16" s="53">
        <v>45992</v>
      </c>
      <c r="F16" s="97">
        <v>45992</v>
      </c>
      <c r="G16" s="92" t="s">
        <v>848</v>
      </c>
      <c r="H16" s="96">
        <v>42</v>
      </c>
      <c r="I16" s="96">
        <v>210</v>
      </c>
      <c r="J16" s="117" t="s">
        <v>894</v>
      </c>
      <c r="K16" s="92">
        <v>50</v>
      </c>
      <c r="L16" s="44">
        <v>0</v>
      </c>
      <c r="M16" s="96" t="s">
        <v>844</v>
      </c>
      <c r="N16" s="52" t="s">
        <v>316</v>
      </c>
      <c r="O16" s="92" t="s">
        <v>895</v>
      </c>
      <c r="P16" s="45"/>
    </row>
    <row r="17" spans="2:16" ht="60.75" thickBot="1" x14ac:dyDescent="0.3">
      <c r="B17" s="50" t="s">
        <v>532</v>
      </c>
      <c r="C17" s="92" t="s">
        <v>533</v>
      </c>
      <c r="D17" s="92" t="s">
        <v>534</v>
      </c>
      <c r="E17" s="53">
        <v>45992</v>
      </c>
      <c r="F17" s="97">
        <v>45992</v>
      </c>
      <c r="G17" s="92" t="s">
        <v>497</v>
      </c>
      <c r="H17" s="96">
        <v>9</v>
      </c>
      <c r="I17" s="96">
        <v>33</v>
      </c>
      <c r="J17" s="117" t="s">
        <v>896</v>
      </c>
      <c r="K17" s="92">
        <v>9</v>
      </c>
      <c r="L17" s="44">
        <v>0</v>
      </c>
      <c r="M17" s="96" t="s">
        <v>858</v>
      </c>
      <c r="N17" s="52" t="s">
        <v>384</v>
      </c>
      <c r="O17" s="92" t="s">
        <v>535</v>
      </c>
      <c r="P17" s="45"/>
    </row>
    <row r="18" spans="2:16" ht="60.75" thickBot="1" x14ac:dyDescent="0.3">
      <c r="B18" s="50" t="s">
        <v>1484</v>
      </c>
      <c r="C18" s="92" t="s">
        <v>521</v>
      </c>
      <c r="D18" s="92" t="s">
        <v>1485</v>
      </c>
      <c r="E18" s="53">
        <v>45992</v>
      </c>
      <c r="F18" s="97">
        <v>45992</v>
      </c>
      <c r="G18" s="92" t="s">
        <v>848</v>
      </c>
      <c r="H18" s="96">
        <v>9</v>
      </c>
      <c r="I18" s="96">
        <v>36</v>
      </c>
      <c r="J18" s="117" t="s">
        <v>520</v>
      </c>
      <c r="K18" s="92">
        <v>9</v>
      </c>
      <c r="L18" s="44">
        <v>0</v>
      </c>
      <c r="M18" s="96" t="s">
        <v>858</v>
      </c>
      <c r="N18" s="52" t="s">
        <v>384</v>
      </c>
      <c r="O18" s="92" t="s">
        <v>1486</v>
      </c>
      <c r="P18" s="45"/>
    </row>
    <row r="19" spans="2:16" ht="48.75" thickBot="1" x14ac:dyDescent="0.3">
      <c r="B19" s="49" t="s">
        <v>898</v>
      </c>
      <c r="C19" s="46" t="s">
        <v>553</v>
      </c>
      <c r="D19" s="92" t="s">
        <v>554</v>
      </c>
      <c r="E19" s="104">
        <v>45870</v>
      </c>
      <c r="F19" s="95">
        <v>46054</v>
      </c>
      <c r="G19" s="46" t="s">
        <v>497</v>
      </c>
      <c r="H19" s="94">
        <v>3</v>
      </c>
      <c r="I19" s="94">
        <v>12</v>
      </c>
      <c r="J19" s="102" t="s">
        <v>552</v>
      </c>
      <c r="K19" s="94">
        <v>3</v>
      </c>
      <c r="L19" s="45">
        <v>0</v>
      </c>
      <c r="M19" s="46" t="s">
        <v>858</v>
      </c>
      <c r="N19" s="102" t="s">
        <v>48</v>
      </c>
      <c r="O19" s="46" t="s">
        <v>555</v>
      </c>
      <c r="P19" s="45"/>
    </row>
    <row r="20" spans="2:16" ht="24.75" thickBot="1" x14ac:dyDescent="0.3">
      <c r="B20" s="49" t="s">
        <v>899</v>
      </c>
      <c r="C20" s="46" t="s">
        <v>784</v>
      </c>
      <c r="D20" s="92" t="s">
        <v>785</v>
      </c>
      <c r="E20" s="104">
        <v>46054</v>
      </c>
      <c r="F20" s="95">
        <v>46054</v>
      </c>
      <c r="G20" s="46" t="s">
        <v>848</v>
      </c>
      <c r="H20" s="46">
        <v>188</v>
      </c>
      <c r="I20" s="46">
        <v>752</v>
      </c>
      <c r="J20" s="49" t="s">
        <v>783</v>
      </c>
      <c r="K20" s="105">
        <v>202.4</v>
      </c>
      <c r="L20" s="45">
        <v>0</v>
      </c>
      <c r="M20" s="46" t="s">
        <v>844</v>
      </c>
      <c r="N20" s="102" t="s">
        <v>159</v>
      </c>
      <c r="O20" s="46" t="s">
        <v>786</v>
      </c>
      <c r="P20" s="45"/>
    </row>
    <row r="21" spans="2:16" ht="36.75" thickBot="1" x14ac:dyDescent="0.3">
      <c r="B21" s="49" t="s">
        <v>900</v>
      </c>
      <c r="C21" s="46" t="s">
        <v>901</v>
      </c>
      <c r="D21" s="112" t="s">
        <v>902</v>
      </c>
      <c r="E21" s="104">
        <v>46054</v>
      </c>
      <c r="F21" s="95">
        <v>46054</v>
      </c>
      <c r="G21" s="46" t="s">
        <v>848</v>
      </c>
      <c r="H21" s="46">
        <v>30</v>
      </c>
      <c r="I21" s="46">
        <v>150</v>
      </c>
      <c r="J21" s="102" t="s">
        <v>864</v>
      </c>
      <c r="K21" s="94" t="s">
        <v>864</v>
      </c>
      <c r="L21" s="45" t="s">
        <v>864</v>
      </c>
      <c r="M21" s="46" t="s">
        <v>844</v>
      </c>
      <c r="N21" s="102" t="s">
        <v>514</v>
      </c>
      <c r="O21" s="94" t="s">
        <v>903</v>
      </c>
      <c r="P21" s="45"/>
    </row>
    <row r="22" spans="2:16" ht="36.75" thickBot="1" x14ac:dyDescent="0.3">
      <c r="B22" s="49" t="s">
        <v>904</v>
      </c>
      <c r="C22" s="46" t="s">
        <v>905</v>
      </c>
      <c r="D22" s="112" t="s">
        <v>906</v>
      </c>
      <c r="E22" s="104">
        <v>46054</v>
      </c>
      <c r="F22" s="95">
        <v>46054</v>
      </c>
      <c r="G22" s="46" t="s">
        <v>848</v>
      </c>
      <c r="H22" s="46">
        <v>430</v>
      </c>
      <c r="I22" s="46">
        <v>3010</v>
      </c>
      <c r="J22" s="102" t="s">
        <v>864</v>
      </c>
      <c r="K22" s="94" t="s">
        <v>864</v>
      </c>
      <c r="L22" s="45" t="s">
        <v>864</v>
      </c>
      <c r="M22" s="46" t="s">
        <v>844</v>
      </c>
      <c r="N22" s="102" t="s">
        <v>159</v>
      </c>
      <c r="O22" s="94" t="s">
        <v>907</v>
      </c>
      <c r="P22" s="45"/>
    </row>
    <row r="23" spans="2:16" ht="48.75" thickBot="1" x14ac:dyDescent="0.3">
      <c r="B23" s="50" t="s">
        <v>908</v>
      </c>
      <c r="C23" s="92" t="s">
        <v>508</v>
      </c>
      <c r="D23" s="92" t="s">
        <v>909</v>
      </c>
      <c r="E23" s="53">
        <v>46054</v>
      </c>
      <c r="F23" s="97">
        <v>46054</v>
      </c>
      <c r="G23" s="92" t="s">
        <v>848</v>
      </c>
      <c r="H23" s="96">
        <v>4</v>
      </c>
      <c r="I23" s="96">
        <v>22</v>
      </c>
      <c r="J23" s="117" t="s">
        <v>507</v>
      </c>
      <c r="K23" s="92">
        <v>4</v>
      </c>
      <c r="L23" s="44" t="s">
        <v>864</v>
      </c>
      <c r="M23" s="96" t="s">
        <v>858</v>
      </c>
      <c r="N23" s="52" t="s">
        <v>43</v>
      </c>
      <c r="O23" s="92" t="s">
        <v>510</v>
      </c>
      <c r="P23" s="45"/>
    </row>
    <row r="24" spans="2:16" ht="36.75" thickBot="1" x14ac:dyDescent="0.3">
      <c r="B24" s="50" t="s">
        <v>910</v>
      </c>
      <c r="C24" s="92" t="s">
        <v>911</v>
      </c>
      <c r="D24" s="92" t="s">
        <v>912</v>
      </c>
      <c r="E24" s="53">
        <v>46054</v>
      </c>
      <c r="F24" s="97">
        <v>46054</v>
      </c>
      <c r="G24" s="92" t="s">
        <v>848</v>
      </c>
      <c r="H24" s="96">
        <v>61</v>
      </c>
      <c r="I24" s="96">
        <v>306.5</v>
      </c>
      <c r="J24" s="97" t="s">
        <v>913</v>
      </c>
      <c r="K24" s="92">
        <v>99</v>
      </c>
      <c r="L24" s="44" t="s">
        <v>864</v>
      </c>
      <c r="M24" s="96" t="s">
        <v>844</v>
      </c>
      <c r="N24" s="52" t="s">
        <v>514</v>
      </c>
      <c r="O24" s="92" t="s">
        <v>914</v>
      </c>
      <c r="P24" s="45"/>
    </row>
    <row r="25" spans="2:16" ht="36.75" thickBot="1" x14ac:dyDescent="0.3">
      <c r="B25" s="49" t="s">
        <v>1472</v>
      </c>
      <c r="C25" s="46" t="s">
        <v>1473</v>
      </c>
      <c r="D25" s="112" t="s">
        <v>1474</v>
      </c>
      <c r="E25" s="95">
        <v>46054</v>
      </c>
      <c r="F25" s="95">
        <v>46054</v>
      </c>
      <c r="G25" s="46" t="s">
        <v>848</v>
      </c>
      <c r="H25" s="46">
        <v>47</v>
      </c>
      <c r="I25" s="46">
        <v>233.5</v>
      </c>
      <c r="J25" s="56" t="s">
        <v>1476</v>
      </c>
      <c r="K25" s="92">
        <v>79.3</v>
      </c>
      <c r="L25" s="44">
        <v>0</v>
      </c>
      <c r="M25" s="96" t="s">
        <v>844</v>
      </c>
      <c r="N25" s="46" t="s">
        <v>48</v>
      </c>
      <c r="O25" s="94" t="s">
        <v>1475</v>
      </c>
      <c r="P25" s="45"/>
    </row>
    <row r="26" spans="2:16" ht="36.75" thickBot="1" x14ac:dyDescent="0.3">
      <c r="B26" s="50" t="s">
        <v>1487</v>
      </c>
      <c r="C26" s="92" t="s">
        <v>1488</v>
      </c>
      <c r="D26" s="92" t="s">
        <v>1489</v>
      </c>
      <c r="E26" s="53">
        <v>46054</v>
      </c>
      <c r="F26" s="97">
        <v>46054</v>
      </c>
      <c r="G26" s="92" t="s">
        <v>848</v>
      </c>
      <c r="H26" s="96">
        <v>105</v>
      </c>
      <c r="I26" s="96">
        <v>420</v>
      </c>
      <c r="J26" s="117" t="s">
        <v>1501</v>
      </c>
      <c r="K26" s="92">
        <v>109.6</v>
      </c>
      <c r="L26" s="44">
        <v>0</v>
      </c>
      <c r="M26" s="96" t="s">
        <v>844</v>
      </c>
      <c r="N26" s="52" t="s">
        <v>134</v>
      </c>
      <c r="O26" s="92" t="s">
        <v>1490</v>
      </c>
      <c r="P26" s="45"/>
    </row>
    <row r="27" spans="2:16" ht="36.75" thickBot="1" x14ac:dyDescent="0.3">
      <c r="B27" s="49" t="s">
        <v>915</v>
      </c>
      <c r="C27" s="46" t="s">
        <v>764</v>
      </c>
      <c r="D27" s="112" t="s">
        <v>916</v>
      </c>
      <c r="E27" s="104">
        <v>46082</v>
      </c>
      <c r="F27" s="95">
        <v>46082</v>
      </c>
      <c r="G27" s="46" t="s">
        <v>848</v>
      </c>
      <c r="H27" s="46">
        <v>46</v>
      </c>
      <c r="I27" s="46">
        <v>230</v>
      </c>
      <c r="J27" s="102" t="s">
        <v>917</v>
      </c>
      <c r="K27" s="94">
        <v>46</v>
      </c>
      <c r="L27" s="45">
        <v>0</v>
      </c>
      <c r="M27" s="46" t="s">
        <v>844</v>
      </c>
      <c r="N27" s="102" t="s">
        <v>316</v>
      </c>
      <c r="O27" s="94" t="s">
        <v>918</v>
      </c>
      <c r="P27" s="45"/>
    </row>
    <row r="28" spans="2:16" ht="48.75" thickBot="1" x14ac:dyDescent="0.3">
      <c r="B28" s="49" t="s">
        <v>919</v>
      </c>
      <c r="C28" s="46" t="s">
        <v>764</v>
      </c>
      <c r="D28" s="112" t="s">
        <v>920</v>
      </c>
      <c r="E28" s="104">
        <v>46113</v>
      </c>
      <c r="F28" s="95">
        <v>46113</v>
      </c>
      <c r="G28" s="46" t="s">
        <v>848</v>
      </c>
      <c r="H28" s="46">
        <v>140</v>
      </c>
      <c r="I28" s="46">
        <v>798</v>
      </c>
      <c r="J28" s="102" t="s">
        <v>864</v>
      </c>
      <c r="K28" s="94" t="s">
        <v>864</v>
      </c>
      <c r="L28" s="45" t="s">
        <v>864</v>
      </c>
      <c r="M28" s="46" t="s">
        <v>844</v>
      </c>
      <c r="N28" s="102" t="s">
        <v>159</v>
      </c>
      <c r="O28" s="94" t="s">
        <v>921</v>
      </c>
      <c r="P28" s="45"/>
    </row>
    <row r="29" spans="2:16" ht="36.75" thickBot="1" x14ac:dyDescent="0.3">
      <c r="B29" s="49" t="s">
        <v>922</v>
      </c>
      <c r="C29" s="46" t="s">
        <v>901</v>
      </c>
      <c r="D29" s="92" t="s">
        <v>923</v>
      </c>
      <c r="E29" s="104">
        <v>45717</v>
      </c>
      <c r="F29" s="95">
        <v>46082</v>
      </c>
      <c r="G29" s="46" t="s">
        <v>848</v>
      </c>
      <c r="H29" s="46">
        <v>199.2</v>
      </c>
      <c r="I29" s="46">
        <v>960.1</v>
      </c>
      <c r="J29" s="102" t="s">
        <v>763</v>
      </c>
      <c r="K29" s="94">
        <v>139.69999999999999</v>
      </c>
      <c r="L29" s="45">
        <f>H29-K29</f>
        <v>59.5</v>
      </c>
      <c r="M29" s="46" t="s">
        <v>844</v>
      </c>
      <c r="N29" s="102" t="s">
        <v>43</v>
      </c>
      <c r="O29" s="46" t="s">
        <v>924</v>
      </c>
      <c r="P29" s="45"/>
    </row>
    <row r="30" spans="2:16" ht="108.75" thickBot="1" x14ac:dyDescent="0.3">
      <c r="B30" s="109" t="s">
        <v>925</v>
      </c>
      <c r="C30" s="17" t="s">
        <v>725</v>
      </c>
      <c r="D30" s="92" t="s">
        <v>926</v>
      </c>
      <c r="E30" s="123">
        <v>46143</v>
      </c>
      <c r="F30" s="123">
        <v>46143</v>
      </c>
      <c r="G30" s="17" t="s">
        <v>848</v>
      </c>
      <c r="H30" s="17">
        <v>187</v>
      </c>
      <c r="I30" s="17">
        <v>935</v>
      </c>
      <c r="J30" s="52" t="s">
        <v>724</v>
      </c>
      <c r="K30" s="113">
        <v>187</v>
      </c>
      <c r="L30" s="42">
        <v>0</v>
      </c>
      <c r="M30" s="99" t="s">
        <v>844</v>
      </c>
      <c r="N30" s="17" t="s">
        <v>134</v>
      </c>
      <c r="O30" s="17" t="s">
        <v>927</v>
      </c>
      <c r="P30" s="45"/>
    </row>
    <row r="31" spans="2:16" ht="36.75" thickBot="1" x14ac:dyDescent="0.3">
      <c r="B31" s="50" t="s">
        <v>928</v>
      </c>
      <c r="C31" s="92" t="s">
        <v>929</v>
      </c>
      <c r="D31" s="92" t="s">
        <v>930</v>
      </c>
      <c r="E31" s="53">
        <v>46143</v>
      </c>
      <c r="F31" s="97">
        <v>46143</v>
      </c>
      <c r="G31" s="92" t="s">
        <v>848</v>
      </c>
      <c r="H31" s="96">
        <v>60</v>
      </c>
      <c r="I31" s="96">
        <v>240</v>
      </c>
      <c r="J31" s="117" t="s">
        <v>1500</v>
      </c>
      <c r="K31" s="92">
        <v>80.5</v>
      </c>
      <c r="L31" s="44">
        <v>0</v>
      </c>
      <c r="M31" s="96" t="s">
        <v>844</v>
      </c>
      <c r="N31" s="52" t="s">
        <v>48</v>
      </c>
      <c r="O31" s="92" t="s">
        <v>931</v>
      </c>
      <c r="P31" s="45"/>
    </row>
    <row r="32" spans="2:16" ht="36.75" thickBot="1" x14ac:dyDescent="0.3">
      <c r="B32" s="50" t="s">
        <v>1493</v>
      </c>
      <c r="C32" s="92" t="s">
        <v>1494</v>
      </c>
      <c r="D32" s="92" t="s">
        <v>1495</v>
      </c>
      <c r="E32" s="53">
        <v>46143</v>
      </c>
      <c r="F32" s="97">
        <v>46143</v>
      </c>
      <c r="G32" s="92" t="s">
        <v>848</v>
      </c>
      <c r="H32" s="96">
        <v>89.7</v>
      </c>
      <c r="I32" s="96">
        <v>448.5</v>
      </c>
      <c r="J32" s="117" t="s">
        <v>1502</v>
      </c>
      <c r="K32" s="92">
        <v>89.7</v>
      </c>
      <c r="L32" s="44">
        <v>0</v>
      </c>
      <c r="M32" s="96" t="s">
        <v>844</v>
      </c>
      <c r="N32" s="52" t="s">
        <v>316</v>
      </c>
      <c r="O32" s="92" t="s">
        <v>1496</v>
      </c>
      <c r="P32" s="45"/>
    </row>
    <row r="33" spans="2:16" ht="60.75" thickBot="1" x14ac:dyDescent="0.3">
      <c r="B33" s="49" t="s">
        <v>932</v>
      </c>
      <c r="C33" s="46" t="s">
        <v>803</v>
      </c>
      <c r="D33" s="112" t="s">
        <v>804</v>
      </c>
      <c r="E33" s="104">
        <v>46174</v>
      </c>
      <c r="F33" s="95">
        <v>46174</v>
      </c>
      <c r="G33" s="46" t="s">
        <v>848</v>
      </c>
      <c r="H33" s="46">
        <v>340</v>
      </c>
      <c r="I33" s="46">
        <v>1360</v>
      </c>
      <c r="J33" s="102" t="s">
        <v>802</v>
      </c>
      <c r="K33" s="94">
        <v>400</v>
      </c>
      <c r="L33" s="45">
        <v>0</v>
      </c>
      <c r="M33" s="46" t="s">
        <v>844</v>
      </c>
      <c r="N33" s="102" t="s">
        <v>159</v>
      </c>
      <c r="O33" s="94" t="s">
        <v>805</v>
      </c>
      <c r="P33" s="45"/>
    </row>
    <row r="34" spans="2:16" ht="24.75" thickBot="1" x14ac:dyDescent="0.3">
      <c r="B34" s="50" t="s">
        <v>933</v>
      </c>
      <c r="C34" s="92" t="s">
        <v>934</v>
      </c>
      <c r="D34" s="92" t="s">
        <v>935</v>
      </c>
      <c r="E34" s="53">
        <v>46174</v>
      </c>
      <c r="F34" s="97">
        <v>46174</v>
      </c>
      <c r="G34" s="92" t="s">
        <v>848</v>
      </c>
      <c r="H34" s="96">
        <v>230</v>
      </c>
      <c r="I34" s="96">
        <v>920</v>
      </c>
      <c r="J34" s="117" t="s">
        <v>936</v>
      </c>
      <c r="K34" s="92">
        <v>230</v>
      </c>
      <c r="L34" s="44" t="s">
        <v>864</v>
      </c>
      <c r="M34" s="96" t="s">
        <v>844</v>
      </c>
      <c r="N34" s="52" t="s">
        <v>159</v>
      </c>
      <c r="O34" s="92" t="s">
        <v>937</v>
      </c>
      <c r="P34" s="45"/>
    </row>
    <row r="35" spans="2:16" ht="24.75" thickBot="1" x14ac:dyDescent="0.3">
      <c r="B35" s="49" t="s">
        <v>962</v>
      </c>
      <c r="C35" s="46" t="s">
        <v>878</v>
      </c>
      <c r="D35" s="48" t="s">
        <v>1465</v>
      </c>
      <c r="E35" s="54">
        <v>46174</v>
      </c>
      <c r="F35" s="54">
        <v>46174</v>
      </c>
      <c r="G35" s="46" t="s">
        <v>848</v>
      </c>
      <c r="H35" s="46">
        <v>228</v>
      </c>
      <c r="I35" s="46">
        <v>912</v>
      </c>
      <c r="J35" s="43" t="s">
        <v>963</v>
      </c>
      <c r="K35" s="42">
        <v>211.6</v>
      </c>
      <c r="L35" s="44">
        <f>H35-K35+8</f>
        <v>24.400000000000006</v>
      </c>
      <c r="M35" s="44" t="s">
        <v>844</v>
      </c>
      <c r="N35" s="46" t="s">
        <v>316</v>
      </c>
      <c r="O35" s="94" t="s">
        <v>964</v>
      </c>
      <c r="P35" s="45"/>
    </row>
    <row r="36" spans="2:16" ht="24.75" thickBot="1" x14ac:dyDescent="0.3">
      <c r="B36" s="88" t="s">
        <v>938</v>
      </c>
      <c r="C36" s="89" t="s">
        <v>743</v>
      </c>
      <c r="D36" s="118" t="s">
        <v>939</v>
      </c>
      <c r="E36" s="90">
        <v>46204</v>
      </c>
      <c r="F36" s="90">
        <v>46204</v>
      </c>
      <c r="G36" s="89" t="s">
        <v>848</v>
      </c>
      <c r="H36" s="89">
        <v>9</v>
      </c>
      <c r="I36" s="89">
        <v>49.5</v>
      </c>
      <c r="J36" s="89" t="s">
        <v>742</v>
      </c>
      <c r="K36" s="91">
        <v>9</v>
      </c>
      <c r="L36" s="45">
        <v>0</v>
      </c>
      <c r="M36" s="89" t="s">
        <v>844</v>
      </c>
      <c r="N36" s="89" t="s">
        <v>316</v>
      </c>
      <c r="O36" s="91" t="s">
        <v>745</v>
      </c>
      <c r="P36" s="45"/>
    </row>
    <row r="37" spans="2:16" ht="36.75" thickBot="1" x14ac:dyDescent="0.3">
      <c r="B37" s="88" t="s">
        <v>940</v>
      </c>
      <c r="C37" s="89" t="s">
        <v>747</v>
      </c>
      <c r="D37" s="118" t="s">
        <v>941</v>
      </c>
      <c r="E37" s="90">
        <v>46204</v>
      </c>
      <c r="F37" s="90">
        <v>46204</v>
      </c>
      <c r="G37" s="89" t="s">
        <v>848</v>
      </c>
      <c r="H37" s="89">
        <v>9</v>
      </c>
      <c r="I37" s="89">
        <v>49.5</v>
      </c>
      <c r="J37" s="89" t="s">
        <v>746</v>
      </c>
      <c r="K37" s="91">
        <v>9</v>
      </c>
      <c r="L37" s="45">
        <v>0</v>
      </c>
      <c r="M37" s="89" t="s">
        <v>844</v>
      </c>
      <c r="N37" s="89" t="s">
        <v>316</v>
      </c>
      <c r="O37" s="91" t="s">
        <v>942</v>
      </c>
      <c r="P37" s="45"/>
    </row>
    <row r="38" spans="2:16" ht="24.75" thickBot="1" x14ac:dyDescent="0.3">
      <c r="B38" s="41" t="s">
        <v>943</v>
      </c>
      <c r="C38" s="42" t="s">
        <v>764</v>
      </c>
      <c r="D38" s="118" t="s">
        <v>944</v>
      </c>
      <c r="E38" s="43">
        <v>46204</v>
      </c>
      <c r="F38" s="43">
        <v>46204</v>
      </c>
      <c r="G38" s="42" t="s">
        <v>848</v>
      </c>
      <c r="H38" s="44">
        <v>57</v>
      </c>
      <c r="I38" s="44">
        <v>285</v>
      </c>
      <c r="J38" s="89" t="s">
        <v>1499</v>
      </c>
      <c r="K38" s="91">
        <v>335</v>
      </c>
      <c r="L38" s="45">
        <v>0</v>
      </c>
      <c r="M38" s="89" t="s">
        <v>844</v>
      </c>
      <c r="N38" s="42" t="s">
        <v>159</v>
      </c>
      <c r="O38" s="42" t="s">
        <v>945</v>
      </c>
      <c r="P38" s="45"/>
    </row>
    <row r="39" spans="2:16" ht="48.75" thickBot="1" x14ac:dyDescent="0.3">
      <c r="B39" s="88" t="s">
        <v>946</v>
      </c>
      <c r="C39" s="89" t="s">
        <v>596</v>
      </c>
      <c r="D39" s="118" t="s">
        <v>597</v>
      </c>
      <c r="E39" s="90">
        <v>46235</v>
      </c>
      <c r="F39" s="90">
        <v>46235</v>
      </c>
      <c r="G39" s="89" t="s">
        <v>848</v>
      </c>
      <c r="H39" s="89">
        <v>9</v>
      </c>
      <c r="I39" s="89">
        <v>45</v>
      </c>
      <c r="J39" s="89" t="s">
        <v>595</v>
      </c>
      <c r="K39" s="91">
        <v>9</v>
      </c>
      <c r="L39" s="45">
        <v>0</v>
      </c>
      <c r="M39" s="89" t="s">
        <v>858</v>
      </c>
      <c r="N39" s="89" t="s">
        <v>129</v>
      </c>
      <c r="O39" s="91" t="s">
        <v>598</v>
      </c>
      <c r="P39" s="45"/>
    </row>
    <row r="40" spans="2:16" ht="36.75" thickBot="1" x14ac:dyDescent="0.3">
      <c r="B40" s="88" t="s">
        <v>965</v>
      </c>
      <c r="C40" s="89" t="s">
        <v>835</v>
      </c>
      <c r="D40" s="42" t="s">
        <v>836</v>
      </c>
      <c r="E40" s="90">
        <v>46235</v>
      </c>
      <c r="F40" s="90">
        <v>46235</v>
      </c>
      <c r="G40" s="89" t="s">
        <v>848</v>
      </c>
      <c r="H40" s="89">
        <v>233</v>
      </c>
      <c r="I40" s="89">
        <v>932</v>
      </c>
      <c r="J40" s="43" t="s">
        <v>834</v>
      </c>
      <c r="K40" s="42">
        <v>255</v>
      </c>
      <c r="L40" s="44">
        <v>0</v>
      </c>
      <c r="M40" s="44" t="s">
        <v>844</v>
      </c>
      <c r="N40" s="89" t="s">
        <v>316</v>
      </c>
      <c r="O40" s="91" t="s">
        <v>837</v>
      </c>
      <c r="P40" s="45"/>
    </row>
    <row r="41" spans="2:16" ht="36.75" thickBot="1" x14ac:dyDescent="0.3">
      <c r="B41" s="88" t="s">
        <v>947</v>
      </c>
      <c r="C41" s="89" t="s">
        <v>807</v>
      </c>
      <c r="D41" s="118" t="s">
        <v>808</v>
      </c>
      <c r="E41" s="90">
        <v>46266</v>
      </c>
      <c r="F41" s="90">
        <v>46266</v>
      </c>
      <c r="G41" s="89" t="s">
        <v>848</v>
      </c>
      <c r="H41" s="89">
        <v>300</v>
      </c>
      <c r="I41" s="89">
        <v>600.1</v>
      </c>
      <c r="J41" s="89" t="s">
        <v>806</v>
      </c>
      <c r="K41" s="91">
        <v>82</v>
      </c>
      <c r="L41" s="45">
        <v>218</v>
      </c>
      <c r="M41" s="89" t="s">
        <v>844</v>
      </c>
      <c r="N41" s="89" t="s">
        <v>316</v>
      </c>
      <c r="O41" s="91" t="s">
        <v>809</v>
      </c>
      <c r="P41" s="45"/>
    </row>
    <row r="42" spans="2:16" ht="24.75" thickBot="1" x14ac:dyDescent="0.3">
      <c r="B42" s="41" t="s">
        <v>948</v>
      </c>
      <c r="C42" s="42" t="s">
        <v>949</v>
      </c>
      <c r="D42" s="42" t="s">
        <v>950</v>
      </c>
      <c r="E42" s="43">
        <v>46266</v>
      </c>
      <c r="F42" s="43">
        <v>46266</v>
      </c>
      <c r="G42" s="42" t="s">
        <v>848</v>
      </c>
      <c r="H42" s="44">
        <v>200</v>
      </c>
      <c r="I42" s="44">
        <v>800</v>
      </c>
      <c r="J42" s="43" t="s">
        <v>951</v>
      </c>
      <c r="K42" s="42">
        <v>139</v>
      </c>
      <c r="L42" s="44">
        <f>H42-K42</f>
        <v>61</v>
      </c>
      <c r="M42" s="44" t="s">
        <v>844</v>
      </c>
      <c r="N42" s="42" t="s">
        <v>73</v>
      </c>
      <c r="O42" s="42" t="s">
        <v>952</v>
      </c>
      <c r="P42" s="45"/>
    </row>
    <row r="43" spans="2:16" ht="48.75" thickBot="1" x14ac:dyDescent="0.3">
      <c r="B43" s="88" t="s">
        <v>859</v>
      </c>
      <c r="C43" s="89" t="s">
        <v>495</v>
      </c>
      <c r="D43" s="42" t="s">
        <v>496</v>
      </c>
      <c r="E43" s="90">
        <v>45870</v>
      </c>
      <c r="F43" s="90">
        <v>46296</v>
      </c>
      <c r="G43" s="89" t="s">
        <v>497</v>
      </c>
      <c r="H43" s="91">
        <v>9</v>
      </c>
      <c r="I43" s="91">
        <v>18.2</v>
      </c>
      <c r="J43" s="89" t="s">
        <v>494</v>
      </c>
      <c r="K43" s="91">
        <v>9</v>
      </c>
      <c r="L43" s="45">
        <v>0</v>
      </c>
      <c r="M43" s="89" t="s">
        <v>858</v>
      </c>
      <c r="N43" s="89" t="s">
        <v>111</v>
      </c>
      <c r="O43" s="89" t="s">
        <v>498</v>
      </c>
      <c r="P43" s="45"/>
    </row>
    <row r="44" spans="2:16" ht="36.75" thickBot="1" x14ac:dyDescent="0.3">
      <c r="B44" s="88" t="s">
        <v>954</v>
      </c>
      <c r="C44" s="89" t="s">
        <v>816</v>
      </c>
      <c r="D44" s="118" t="s">
        <v>817</v>
      </c>
      <c r="E44" s="90">
        <v>46296</v>
      </c>
      <c r="F44" s="90">
        <v>46296</v>
      </c>
      <c r="G44" s="89" t="s">
        <v>848</v>
      </c>
      <c r="H44" s="89">
        <v>9</v>
      </c>
      <c r="I44" s="89">
        <v>45</v>
      </c>
      <c r="J44" s="89" t="s">
        <v>815</v>
      </c>
      <c r="K44" s="91">
        <v>9</v>
      </c>
      <c r="L44" s="45">
        <v>0</v>
      </c>
      <c r="M44" s="89" t="s">
        <v>844</v>
      </c>
      <c r="N44" s="89" t="s">
        <v>43</v>
      </c>
      <c r="O44" s="91" t="s">
        <v>818</v>
      </c>
      <c r="P44" s="45"/>
    </row>
    <row r="45" spans="2:16" ht="36.75" thickBot="1" x14ac:dyDescent="0.3">
      <c r="B45" s="50" t="s">
        <v>955</v>
      </c>
      <c r="C45" s="92" t="s">
        <v>820</v>
      </c>
      <c r="D45" s="42" t="s">
        <v>821</v>
      </c>
      <c r="E45" s="43">
        <v>46296</v>
      </c>
      <c r="F45" s="43">
        <v>46296</v>
      </c>
      <c r="G45" s="42" t="s">
        <v>848</v>
      </c>
      <c r="H45" s="44">
        <v>340</v>
      </c>
      <c r="I45" s="44">
        <v>1360</v>
      </c>
      <c r="J45" s="22" t="s">
        <v>956</v>
      </c>
      <c r="K45" s="42">
        <v>348</v>
      </c>
      <c r="L45" s="44" t="s">
        <v>864</v>
      </c>
      <c r="M45" s="44" t="s">
        <v>844</v>
      </c>
      <c r="N45" s="42" t="s">
        <v>159</v>
      </c>
      <c r="O45" s="42" t="s">
        <v>957</v>
      </c>
      <c r="P45" s="42" t="s">
        <v>823</v>
      </c>
    </row>
    <row r="46" spans="2:16" ht="36.75" thickBot="1" x14ac:dyDescent="0.3">
      <c r="B46" s="88" t="s">
        <v>966</v>
      </c>
      <c r="C46" s="89" t="s">
        <v>638</v>
      </c>
      <c r="D46" s="119" t="s">
        <v>1464</v>
      </c>
      <c r="E46" s="90">
        <v>46327</v>
      </c>
      <c r="F46" s="90">
        <v>46327</v>
      </c>
      <c r="G46" s="89" t="s">
        <v>848</v>
      </c>
      <c r="H46" s="89">
        <v>4.9000000000000004</v>
      </c>
      <c r="I46" s="89">
        <v>24.5</v>
      </c>
      <c r="J46" s="43" t="s">
        <v>637</v>
      </c>
      <c r="K46" s="42">
        <v>4.9000000000000004</v>
      </c>
      <c r="L46" s="44">
        <v>0</v>
      </c>
      <c r="M46" s="44" t="s">
        <v>858</v>
      </c>
      <c r="N46" s="89" t="s">
        <v>159</v>
      </c>
      <c r="O46" s="91" t="s">
        <v>640</v>
      </c>
      <c r="P46" s="45"/>
    </row>
    <row r="47" spans="2:16" ht="36.75" thickBot="1" x14ac:dyDescent="0.3">
      <c r="B47" s="88" t="s">
        <v>897</v>
      </c>
      <c r="C47" s="89" t="s">
        <v>545</v>
      </c>
      <c r="D47" s="42" t="s">
        <v>546</v>
      </c>
      <c r="E47" s="90">
        <v>46023</v>
      </c>
      <c r="F47" s="90">
        <v>46357</v>
      </c>
      <c r="G47" s="89" t="s">
        <v>848</v>
      </c>
      <c r="H47" s="89">
        <v>6.5</v>
      </c>
      <c r="I47" s="89">
        <v>26</v>
      </c>
      <c r="J47" s="89" t="s">
        <v>544</v>
      </c>
      <c r="K47" s="91">
        <v>6.5</v>
      </c>
      <c r="L47" s="45">
        <v>0</v>
      </c>
      <c r="M47" s="89" t="s">
        <v>858</v>
      </c>
      <c r="N47" s="89" t="s">
        <v>48</v>
      </c>
      <c r="O47" s="91" t="s">
        <v>886</v>
      </c>
      <c r="P47" s="45"/>
    </row>
    <row r="48" spans="2:16" ht="48.75" thickBot="1" x14ac:dyDescent="0.3">
      <c r="B48" s="88" t="s">
        <v>958</v>
      </c>
      <c r="C48" s="89" t="s">
        <v>608</v>
      </c>
      <c r="D48" s="118" t="s">
        <v>609</v>
      </c>
      <c r="E48" s="90">
        <v>46357</v>
      </c>
      <c r="F48" s="90">
        <v>46357</v>
      </c>
      <c r="G48" s="89" t="s">
        <v>848</v>
      </c>
      <c r="H48" s="89">
        <v>9</v>
      </c>
      <c r="I48" s="89">
        <v>49.5</v>
      </c>
      <c r="J48" s="89" t="s">
        <v>607</v>
      </c>
      <c r="K48" s="91">
        <v>9</v>
      </c>
      <c r="L48" s="45">
        <v>0</v>
      </c>
      <c r="M48" s="89" t="s">
        <v>858</v>
      </c>
      <c r="N48" s="89" t="s">
        <v>111</v>
      </c>
      <c r="O48" s="91" t="s">
        <v>610</v>
      </c>
      <c r="P48" s="45"/>
    </row>
    <row r="49" spans="2:16" ht="48.75" thickBot="1" x14ac:dyDescent="0.3">
      <c r="B49" s="88" t="s">
        <v>1466</v>
      </c>
      <c r="C49" s="89" t="s">
        <v>642</v>
      </c>
      <c r="D49" s="119" t="s">
        <v>1463</v>
      </c>
      <c r="E49" s="90">
        <v>46357</v>
      </c>
      <c r="F49" s="90">
        <v>46357</v>
      </c>
      <c r="G49" s="89" t="s">
        <v>848</v>
      </c>
      <c r="H49" s="89">
        <v>9</v>
      </c>
      <c r="I49" s="89">
        <v>45</v>
      </c>
      <c r="J49" s="43" t="s">
        <v>641</v>
      </c>
      <c r="K49" s="42">
        <v>9</v>
      </c>
      <c r="L49" s="44">
        <v>0</v>
      </c>
      <c r="M49" s="44" t="s">
        <v>858</v>
      </c>
      <c r="N49" s="89" t="s">
        <v>111</v>
      </c>
      <c r="O49" s="91" t="s">
        <v>643</v>
      </c>
      <c r="P49" s="45"/>
    </row>
    <row r="50" spans="2:16" ht="48.75" thickBot="1" x14ac:dyDescent="0.3">
      <c r="B50" s="88" t="s">
        <v>953</v>
      </c>
      <c r="C50" s="89" t="s">
        <v>600</v>
      </c>
      <c r="D50" s="42" t="s">
        <v>601</v>
      </c>
      <c r="E50" s="90">
        <v>46296</v>
      </c>
      <c r="F50" s="90">
        <v>46388</v>
      </c>
      <c r="G50" s="89" t="s">
        <v>848</v>
      </c>
      <c r="H50" s="89">
        <v>9</v>
      </c>
      <c r="I50" s="89">
        <v>36</v>
      </c>
      <c r="J50" s="89" t="s">
        <v>599</v>
      </c>
      <c r="K50" s="91">
        <v>9</v>
      </c>
      <c r="L50" s="45">
        <v>0</v>
      </c>
      <c r="M50" s="89" t="s">
        <v>858</v>
      </c>
      <c r="N50" s="89" t="s">
        <v>111</v>
      </c>
      <c r="O50" s="89" t="s">
        <v>602</v>
      </c>
      <c r="P50" s="45"/>
    </row>
    <row r="51" spans="2:16" ht="48.75" thickBot="1" x14ac:dyDescent="0.3">
      <c r="B51" s="88" t="s">
        <v>961</v>
      </c>
      <c r="C51" s="89" t="s">
        <v>830</v>
      </c>
      <c r="D51" s="119" t="s">
        <v>831</v>
      </c>
      <c r="E51" s="90">
        <v>46447</v>
      </c>
      <c r="F51" s="90">
        <v>46447</v>
      </c>
      <c r="G51" s="89" t="s">
        <v>848</v>
      </c>
      <c r="H51" s="89">
        <v>336</v>
      </c>
      <c r="I51" s="89">
        <v>1344</v>
      </c>
      <c r="J51" s="42" t="s">
        <v>829</v>
      </c>
      <c r="K51" s="44">
        <v>168</v>
      </c>
      <c r="L51" s="44">
        <f>H51-K51</f>
        <v>168</v>
      </c>
      <c r="M51" s="44" t="s">
        <v>844</v>
      </c>
      <c r="N51" s="89" t="s">
        <v>134</v>
      </c>
      <c r="O51" s="91" t="s">
        <v>832</v>
      </c>
      <c r="P51" s="45"/>
    </row>
    <row r="52" spans="2:16" ht="48.75" thickBot="1" x14ac:dyDescent="0.3">
      <c r="B52" s="41" t="s">
        <v>1497</v>
      </c>
      <c r="C52" s="42" t="s">
        <v>1482</v>
      </c>
      <c r="D52" s="42" t="s">
        <v>1506</v>
      </c>
      <c r="E52" s="43">
        <v>46447</v>
      </c>
      <c r="F52" s="43">
        <v>46447</v>
      </c>
      <c r="G52" s="42" t="s">
        <v>848</v>
      </c>
      <c r="H52" s="44">
        <v>306.3</v>
      </c>
      <c r="I52" s="44">
        <v>1334</v>
      </c>
      <c r="J52" s="43" t="s">
        <v>864</v>
      </c>
      <c r="K52" s="42" t="s">
        <v>864</v>
      </c>
      <c r="L52" s="44" t="s">
        <v>864</v>
      </c>
      <c r="M52" s="44" t="s">
        <v>844</v>
      </c>
      <c r="N52" s="42" t="s">
        <v>159</v>
      </c>
      <c r="O52" s="42" t="s">
        <v>1483</v>
      </c>
      <c r="P52" s="45"/>
    </row>
    <row r="53" spans="2:16" ht="48.75" thickBot="1" x14ac:dyDescent="0.3">
      <c r="B53" s="41" t="s">
        <v>1498</v>
      </c>
      <c r="C53" s="42" t="s">
        <v>1482</v>
      </c>
      <c r="D53" s="42" t="s">
        <v>1505</v>
      </c>
      <c r="E53" s="43">
        <v>46447</v>
      </c>
      <c r="F53" s="43">
        <v>46447</v>
      </c>
      <c r="G53" s="42" t="s">
        <v>848</v>
      </c>
      <c r="H53" s="44">
        <v>159</v>
      </c>
      <c r="I53" s="44">
        <v>636</v>
      </c>
      <c r="J53" s="42" t="s">
        <v>1481</v>
      </c>
      <c r="K53" s="44">
        <v>159</v>
      </c>
      <c r="L53" s="44">
        <v>0</v>
      </c>
      <c r="M53" s="44" t="s">
        <v>844</v>
      </c>
      <c r="N53" s="42" t="s">
        <v>159</v>
      </c>
      <c r="O53" s="42" t="s">
        <v>1483</v>
      </c>
      <c r="P53" s="45"/>
    </row>
    <row r="54" spans="2:16" ht="60.75" thickBot="1" x14ac:dyDescent="0.3">
      <c r="B54" s="88" t="s">
        <v>959</v>
      </c>
      <c r="C54" s="89" t="s">
        <v>624</v>
      </c>
      <c r="D54" s="118" t="s">
        <v>625</v>
      </c>
      <c r="E54" s="90">
        <v>46539</v>
      </c>
      <c r="F54" s="90">
        <v>46539</v>
      </c>
      <c r="G54" s="89" t="s">
        <v>848</v>
      </c>
      <c r="H54" s="89">
        <v>6</v>
      </c>
      <c r="I54" s="89">
        <v>30</v>
      </c>
      <c r="J54" s="89" t="s">
        <v>623</v>
      </c>
      <c r="K54" s="91">
        <v>6</v>
      </c>
      <c r="L54" s="45">
        <v>0</v>
      </c>
      <c r="M54" s="89" t="s">
        <v>858</v>
      </c>
      <c r="N54" s="89" t="s">
        <v>332</v>
      </c>
      <c r="O54" s="91" t="s">
        <v>626</v>
      </c>
      <c r="P54" s="45"/>
    </row>
    <row r="55" spans="2:16" ht="48.75" thickBot="1" x14ac:dyDescent="0.3">
      <c r="B55" s="88" t="s">
        <v>960</v>
      </c>
      <c r="C55" s="89" t="s">
        <v>628</v>
      </c>
      <c r="D55" s="118" t="s">
        <v>629</v>
      </c>
      <c r="E55" s="90">
        <v>46569</v>
      </c>
      <c r="F55" s="90">
        <v>46569</v>
      </c>
      <c r="G55" s="89" t="s">
        <v>848</v>
      </c>
      <c r="H55" s="89">
        <v>4.5</v>
      </c>
      <c r="I55" s="89">
        <v>25.1</v>
      </c>
      <c r="J55" s="22" t="s">
        <v>627</v>
      </c>
      <c r="K55" s="42">
        <v>4.5</v>
      </c>
      <c r="L55" s="44">
        <v>0</v>
      </c>
      <c r="M55" s="44" t="s">
        <v>858</v>
      </c>
      <c r="N55" s="89" t="s">
        <v>332</v>
      </c>
      <c r="O55" s="91" t="s">
        <v>630</v>
      </c>
      <c r="P55" s="45"/>
    </row>
    <row r="56" spans="2:16" x14ac:dyDescent="0.25"/>
    <row r="57" spans="2:16" x14ac:dyDescent="0.25"/>
    <row r="58" spans="2:16" x14ac:dyDescent="0.25"/>
    <row r="59" spans="2:16" x14ac:dyDescent="0.25"/>
  </sheetData>
  <autoFilter ref="B3:P55" xr:uid="{DE4E512E-9510-4EAC-A762-FDD6962C63F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tint="0.59999389629810485"/>
  </sheetPr>
  <dimension ref="A1:N7"/>
  <sheetViews>
    <sheetView zoomScaleNormal="100" workbookViewId="0">
      <selection activeCell="M5" sqref="M5"/>
    </sheetView>
  </sheetViews>
  <sheetFormatPr baseColWidth="10" defaultColWidth="0" defaultRowHeight="15" zeroHeight="1" x14ac:dyDescent="0.25"/>
  <cols>
    <col min="1" max="1" width="11.42578125" style="3" customWidth="1"/>
    <col min="2" max="2" width="12.5703125" style="3" customWidth="1"/>
    <col min="3" max="10" width="11.42578125" style="3" customWidth="1"/>
    <col min="11" max="11" width="29.7109375" style="3" customWidth="1"/>
    <col min="12" max="12" width="13.42578125" style="3" customWidth="1"/>
    <col min="13" max="14" width="11.42578125" style="3" customWidth="1"/>
    <col min="15" max="16384" width="11.42578125" style="3" hidden="1"/>
  </cols>
  <sheetData>
    <row r="1" spans="1:12" x14ac:dyDescent="0.25">
      <c r="A1" s="8" t="s">
        <v>967</v>
      </c>
      <c r="B1" s="8"/>
      <c r="C1" s="8"/>
      <c r="D1" s="8"/>
      <c r="E1" s="8"/>
      <c r="F1" s="8"/>
      <c r="G1" s="8"/>
    </row>
    <row r="2" spans="1:12" ht="15.75" thickBot="1" x14ac:dyDescent="0.3"/>
    <row r="3" spans="1:12" ht="48.75" thickBot="1" x14ac:dyDescent="0.3">
      <c r="B3" s="6" t="s">
        <v>16</v>
      </c>
      <c r="C3" s="7" t="s">
        <v>17</v>
      </c>
      <c r="D3" s="7" t="s">
        <v>18</v>
      </c>
      <c r="E3" s="7" t="s">
        <v>19</v>
      </c>
      <c r="F3" s="7" t="s">
        <v>20</v>
      </c>
      <c r="G3" s="7" t="s">
        <v>21</v>
      </c>
      <c r="H3" s="7" t="s">
        <v>22</v>
      </c>
      <c r="I3" s="7" t="s">
        <v>23</v>
      </c>
      <c r="J3" s="7" t="s">
        <v>24</v>
      </c>
      <c r="K3" s="7" t="s">
        <v>25</v>
      </c>
      <c r="L3" s="7" t="s">
        <v>26</v>
      </c>
    </row>
    <row r="4" spans="1:12" ht="99" customHeight="1" thickBot="1" x14ac:dyDescent="0.3">
      <c r="B4" s="41" t="s">
        <v>968</v>
      </c>
      <c r="C4" s="42" t="s">
        <v>504</v>
      </c>
      <c r="D4" s="42" t="s">
        <v>969</v>
      </c>
      <c r="E4" s="43" t="s">
        <v>636</v>
      </c>
      <c r="F4" s="43" t="s">
        <v>636</v>
      </c>
      <c r="G4" s="42" t="s">
        <v>970</v>
      </c>
      <c r="H4" s="44" t="s">
        <v>971</v>
      </c>
      <c r="I4" s="44" t="s">
        <v>971</v>
      </c>
      <c r="J4" s="42" t="s">
        <v>972</v>
      </c>
      <c r="K4" s="42" t="s">
        <v>973</v>
      </c>
      <c r="L4" s="45"/>
    </row>
    <row r="5" spans="1:12" x14ac:dyDescent="0.25"/>
    <row r="6" spans="1:12" x14ac:dyDescent="0.25"/>
    <row r="7" spans="1:12" x14ac:dyDescent="0.25"/>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4" tint="-0.249977111117893"/>
  </sheetPr>
  <dimension ref="A1:J15"/>
  <sheetViews>
    <sheetView topLeftCell="A2" zoomScaleNormal="100" workbookViewId="0">
      <selection activeCell="B61" sqref="B61"/>
    </sheetView>
  </sheetViews>
  <sheetFormatPr baseColWidth="10" defaultColWidth="0" defaultRowHeight="15" zeroHeight="1" x14ac:dyDescent="0.25"/>
  <cols>
    <col min="1" max="1" width="11.42578125" style="3" customWidth="1"/>
    <col min="2" max="2" width="24.85546875" style="3" customWidth="1"/>
    <col min="3" max="5" width="11.42578125" style="3" customWidth="1"/>
    <col min="6" max="6" width="12.5703125" style="3" customWidth="1"/>
    <col min="7" max="7" width="17.28515625" style="3" customWidth="1"/>
    <col min="8" max="10" width="2.28515625" style="3" customWidth="1"/>
    <col min="11" max="16384" width="2.28515625" style="3" hidden="1"/>
  </cols>
  <sheetData>
    <row r="1" spans="1:7" x14ac:dyDescent="0.25">
      <c r="A1" s="8" t="s">
        <v>974</v>
      </c>
      <c r="B1" s="8"/>
      <c r="C1" s="8"/>
      <c r="D1" s="8"/>
      <c r="E1" s="8"/>
      <c r="F1" s="8"/>
      <c r="G1" s="8"/>
    </row>
    <row r="2" spans="1:7" ht="15.75" thickBot="1" x14ac:dyDescent="0.3"/>
    <row r="3" spans="1:7" ht="72.75" thickBot="1" x14ac:dyDescent="0.3">
      <c r="B3" s="6" t="s">
        <v>16</v>
      </c>
      <c r="C3" s="7" t="s">
        <v>975</v>
      </c>
      <c r="D3" s="7" t="s">
        <v>976</v>
      </c>
      <c r="E3" s="7" t="s">
        <v>977</v>
      </c>
      <c r="F3" s="7" t="s">
        <v>978</v>
      </c>
      <c r="G3" s="7" t="s">
        <v>26</v>
      </c>
    </row>
    <row r="4" spans="1:7" ht="48.75" thickBot="1" x14ac:dyDescent="0.3">
      <c r="B4" s="33" t="s">
        <v>979</v>
      </c>
      <c r="C4" s="16" t="s">
        <v>980</v>
      </c>
      <c r="D4" s="17" t="s">
        <v>981</v>
      </c>
      <c r="E4" s="14">
        <v>45292</v>
      </c>
      <c r="F4" s="17" t="s">
        <v>982</v>
      </c>
      <c r="G4" s="31"/>
    </row>
    <row r="5" spans="1:7" ht="48.75" thickBot="1" x14ac:dyDescent="0.3">
      <c r="B5" s="33" t="s">
        <v>983</v>
      </c>
      <c r="C5" s="16" t="s">
        <v>984</v>
      </c>
      <c r="D5" s="17" t="s">
        <v>985</v>
      </c>
      <c r="E5" s="14">
        <v>46539</v>
      </c>
      <c r="F5" s="17" t="s">
        <v>986</v>
      </c>
      <c r="G5" s="31"/>
    </row>
    <row r="6" spans="1:7" ht="60.75" thickBot="1" x14ac:dyDescent="0.3">
      <c r="B6" s="33" t="s">
        <v>987</v>
      </c>
      <c r="C6" s="16" t="s">
        <v>988</v>
      </c>
      <c r="D6" s="17" t="s">
        <v>989</v>
      </c>
      <c r="E6" s="14">
        <v>47239</v>
      </c>
      <c r="F6" s="17" t="s">
        <v>990</v>
      </c>
      <c r="G6" s="31" t="s">
        <v>991</v>
      </c>
    </row>
    <row r="7" spans="1:7" ht="72.75" thickBot="1" x14ac:dyDescent="0.3">
      <c r="B7" s="33" t="s">
        <v>992</v>
      </c>
      <c r="C7" s="16" t="s">
        <v>980</v>
      </c>
      <c r="D7" s="17" t="s">
        <v>981</v>
      </c>
      <c r="E7" s="14">
        <v>45292</v>
      </c>
      <c r="F7" s="17" t="s">
        <v>993</v>
      </c>
      <c r="G7" s="31" t="s">
        <v>994</v>
      </c>
    </row>
    <row r="8" spans="1:7" ht="72.75" thickBot="1" x14ac:dyDescent="0.3">
      <c r="B8" s="33" t="s">
        <v>995</v>
      </c>
      <c r="C8" s="17" t="s">
        <v>996</v>
      </c>
      <c r="D8" s="17" t="s">
        <v>997</v>
      </c>
      <c r="E8" s="14">
        <v>45231</v>
      </c>
      <c r="F8" s="17" t="s">
        <v>998</v>
      </c>
      <c r="G8" s="31" t="s">
        <v>999</v>
      </c>
    </row>
    <row r="9" spans="1:7" ht="24.75" thickBot="1" x14ac:dyDescent="0.3">
      <c r="B9" s="33" t="s">
        <v>1000</v>
      </c>
      <c r="C9" s="17" t="s">
        <v>1001</v>
      </c>
      <c r="D9" s="17" t="s">
        <v>1002</v>
      </c>
      <c r="E9" s="14">
        <v>46753</v>
      </c>
      <c r="F9" s="17" t="s">
        <v>878</v>
      </c>
      <c r="G9" s="31"/>
    </row>
    <row r="10" spans="1:7" ht="36.75" thickBot="1" x14ac:dyDescent="0.3">
      <c r="B10" s="33" t="s">
        <v>1003</v>
      </c>
      <c r="C10" s="17" t="s">
        <v>1001</v>
      </c>
      <c r="D10" s="17" t="s">
        <v>1002</v>
      </c>
      <c r="E10" s="14">
        <v>47119</v>
      </c>
      <c r="F10" s="17" t="s">
        <v>1004</v>
      </c>
      <c r="G10" s="31"/>
    </row>
    <row r="11" spans="1:7" ht="36.75" thickBot="1" x14ac:dyDescent="0.3">
      <c r="B11" s="33" t="s">
        <v>1005</v>
      </c>
      <c r="C11" s="17" t="s">
        <v>1006</v>
      </c>
      <c r="D11" s="17" t="s">
        <v>1007</v>
      </c>
      <c r="E11" s="14">
        <v>46753</v>
      </c>
      <c r="F11" s="17" t="s">
        <v>1008</v>
      </c>
      <c r="G11" s="31"/>
    </row>
    <row r="12" spans="1:7" ht="24.75" thickBot="1" x14ac:dyDescent="0.3">
      <c r="B12" s="33" t="s">
        <v>1009</v>
      </c>
      <c r="C12" s="17" t="s">
        <v>1006</v>
      </c>
      <c r="D12" s="17" t="s">
        <v>1007</v>
      </c>
      <c r="E12" s="14">
        <v>47484</v>
      </c>
      <c r="F12" s="17" t="s">
        <v>901</v>
      </c>
      <c r="G12" s="31"/>
    </row>
    <row r="13" spans="1:7" x14ac:dyDescent="0.25">
      <c r="E13" s="38"/>
    </row>
    <row r="14" spans="1:7" x14ac:dyDescent="0.25"/>
    <row r="15" spans="1:7" x14ac:dyDescent="0.25"/>
  </sheetData>
  <autoFilter ref="B3:G3" xr:uid="{00000000-0001-0000-0500-000000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4" tint="0.59999389629810485"/>
  </sheetPr>
  <dimension ref="A1:I35"/>
  <sheetViews>
    <sheetView zoomScaleNormal="100" workbookViewId="0"/>
  </sheetViews>
  <sheetFormatPr baseColWidth="10" defaultColWidth="0" defaultRowHeight="15" zeroHeight="1" x14ac:dyDescent="0.25"/>
  <cols>
    <col min="1" max="1" width="11.42578125" style="3" customWidth="1"/>
    <col min="2" max="2" width="32.5703125" style="3" customWidth="1"/>
    <col min="3" max="5" width="11.42578125" style="3" customWidth="1"/>
    <col min="6" max="6" width="17.5703125" style="3" customWidth="1"/>
    <col min="7" max="7" width="21.140625" style="3" customWidth="1"/>
    <col min="8" max="9" width="11.42578125" style="3" customWidth="1"/>
    <col min="10" max="16384" width="11.42578125" style="3" hidden="1"/>
  </cols>
  <sheetData>
    <row r="1" spans="1:7" x14ac:dyDescent="0.25">
      <c r="A1" s="8" t="s">
        <v>1010</v>
      </c>
      <c r="B1" s="8"/>
      <c r="C1" s="8"/>
      <c r="D1" s="8"/>
      <c r="E1" s="8"/>
      <c r="F1" s="8"/>
      <c r="G1" s="8"/>
    </row>
    <row r="2" spans="1:7" ht="15.75" thickBot="1" x14ac:dyDescent="0.3"/>
    <row r="3" spans="1:7" ht="72.75" thickBot="1" x14ac:dyDescent="0.3">
      <c r="B3" s="6" t="s">
        <v>16</v>
      </c>
      <c r="C3" s="7" t="s">
        <v>975</v>
      </c>
      <c r="D3" s="7" t="s">
        <v>976</v>
      </c>
      <c r="E3" s="7" t="s">
        <v>977</v>
      </c>
      <c r="F3" s="7" t="s">
        <v>978</v>
      </c>
      <c r="G3" s="7" t="s">
        <v>26</v>
      </c>
    </row>
    <row r="4" spans="1:7" ht="24.75" thickBot="1" x14ac:dyDescent="0.3">
      <c r="B4" s="27" t="s">
        <v>1011</v>
      </c>
      <c r="C4" s="17" t="s">
        <v>1012</v>
      </c>
      <c r="D4" s="17" t="s">
        <v>1013</v>
      </c>
      <c r="E4" s="14">
        <v>44927</v>
      </c>
      <c r="F4" s="17" t="s">
        <v>1014</v>
      </c>
      <c r="G4" s="28"/>
    </row>
    <row r="5" spans="1:7" ht="68.25" thickBot="1" x14ac:dyDescent="0.3">
      <c r="B5" s="27" t="s">
        <v>1015</v>
      </c>
      <c r="C5" s="17" t="s">
        <v>1016</v>
      </c>
      <c r="D5" s="17" t="s">
        <v>1017</v>
      </c>
      <c r="E5" s="14">
        <v>45017</v>
      </c>
      <c r="F5" s="17" t="s">
        <v>1018</v>
      </c>
      <c r="G5" s="28" t="s">
        <v>1019</v>
      </c>
    </row>
    <row r="6" spans="1:7" ht="24.75" thickBot="1" x14ac:dyDescent="0.3">
      <c r="B6" s="27" t="s">
        <v>1020</v>
      </c>
      <c r="C6" s="17" t="s">
        <v>1016</v>
      </c>
      <c r="D6" s="17" t="s">
        <v>1017</v>
      </c>
      <c r="E6" s="14">
        <v>45017</v>
      </c>
      <c r="F6" s="17" t="s">
        <v>1021</v>
      </c>
      <c r="G6" s="28"/>
    </row>
    <row r="7" spans="1:7" ht="24.75" thickBot="1" x14ac:dyDescent="0.3">
      <c r="B7" s="27" t="s">
        <v>1022</v>
      </c>
      <c r="C7" s="17" t="s">
        <v>1016</v>
      </c>
      <c r="D7" s="17" t="s">
        <v>1017</v>
      </c>
      <c r="E7" s="14">
        <v>45017</v>
      </c>
      <c r="F7" s="17" t="s">
        <v>1023</v>
      </c>
      <c r="G7" s="28"/>
    </row>
    <row r="8" spans="1:7" ht="15.75" thickBot="1" x14ac:dyDescent="0.3">
      <c r="B8" s="27" t="s">
        <v>1024</v>
      </c>
      <c r="C8" s="17" t="s">
        <v>1016</v>
      </c>
      <c r="D8" s="17" t="s">
        <v>1017</v>
      </c>
      <c r="E8" s="14">
        <v>45017</v>
      </c>
      <c r="F8" s="17" t="s">
        <v>1025</v>
      </c>
      <c r="G8" s="28"/>
    </row>
    <row r="9" spans="1:7" ht="24.75" thickBot="1" x14ac:dyDescent="0.3">
      <c r="B9" s="27" t="s">
        <v>1026</v>
      </c>
      <c r="C9" s="17" t="s">
        <v>1012</v>
      </c>
      <c r="D9" s="17" t="s">
        <v>1027</v>
      </c>
      <c r="E9" s="14">
        <v>45261</v>
      </c>
      <c r="F9" s="17" t="s">
        <v>1028</v>
      </c>
      <c r="G9" s="28"/>
    </row>
    <row r="10" spans="1:7" ht="24.75" thickBot="1" x14ac:dyDescent="0.3">
      <c r="B10" s="27" t="s">
        <v>1029</v>
      </c>
      <c r="C10" s="16" t="s">
        <v>1030</v>
      </c>
      <c r="D10" s="17" t="s">
        <v>1031</v>
      </c>
      <c r="E10" s="14">
        <v>45352</v>
      </c>
      <c r="F10" s="17" t="s">
        <v>1028</v>
      </c>
      <c r="G10" s="28"/>
    </row>
    <row r="11" spans="1:7" ht="36.75" thickBot="1" x14ac:dyDescent="0.3">
      <c r="B11" s="27" t="s">
        <v>1032</v>
      </c>
      <c r="C11" s="17" t="s">
        <v>1016</v>
      </c>
      <c r="D11" s="17" t="s">
        <v>1017</v>
      </c>
      <c r="E11" s="14">
        <v>45383</v>
      </c>
      <c r="F11" s="17" t="s">
        <v>1028</v>
      </c>
      <c r="G11" s="28"/>
    </row>
    <row r="12" spans="1:7" ht="24.75" thickBot="1" x14ac:dyDescent="0.3">
      <c r="B12" s="27" t="s">
        <v>1033</v>
      </c>
      <c r="C12" s="16" t="s">
        <v>1030</v>
      </c>
      <c r="D12" s="17" t="s">
        <v>1034</v>
      </c>
      <c r="E12" s="14">
        <v>45444</v>
      </c>
      <c r="F12" s="17" t="s">
        <v>1035</v>
      </c>
      <c r="G12" s="28"/>
    </row>
    <row r="13" spans="1:7" ht="36.75" thickBot="1" x14ac:dyDescent="0.3">
      <c r="B13" s="27" t="s">
        <v>1036</v>
      </c>
      <c r="C13" s="16" t="s">
        <v>1030</v>
      </c>
      <c r="D13" s="17" t="s">
        <v>1031</v>
      </c>
      <c r="E13" s="14">
        <v>45627</v>
      </c>
      <c r="F13" s="17" t="s">
        <v>1028</v>
      </c>
      <c r="G13" s="28"/>
    </row>
    <row r="14" spans="1:7" ht="36.75" thickBot="1" x14ac:dyDescent="0.3">
      <c r="B14" s="27" t="s">
        <v>1037</v>
      </c>
      <c r="C14" s="16" t="s">
        <v>1030</v>
      </c>
      <c r="D14" s="17" t="s">
        <v>1031</v>
      </c>
      <c r="E14" s="14">
        <v>45627</v>
      </c>
      <c r="F14" s="17" t="s">
        <v>1038</v>
      </c>
      <c r="G14" s="28"/>
    </row>
    <row r="15" spans="1:7" ht="48.75" thickBot="1" x14ac:dyDescent="0.3">
      <c r="B15" s="27" t="s">
        <v>1039</v>
      </c>
      <c r="C15" s="16" t="s">
        <v>1030</v>
      </c>
      <c r="D15" s="17" t="s">
        <v>1031</v>
      </c>
      <c r="E15" s="14">
        <v>45627</v>
      </c>
      <c r="F15" s="17" t="s">
        <v>1040</v>
      </c>
      <c r="G15" s="28"/>
    </row>
    <row r="16" spans="1:7" ht="60.75" thickBot="1" x14ac:dyDescent="0.3">
      <c r="B16" s="27" t="s">
        <v>1041</v>
      </c>
      <c r="C16" s="16" t="s">
        <v>1030</v>
      </c>
      <c r="D16" s="17" t="s">
        <v>1031</v>
      </c>
      <c r="E16" s="14">
        <v>45627</v>
      </c>
      <c r="F16" s="17" t="s">
        <v>1467</v>
      </c>
      <c r="G16" s="28" t="s">
        <v>1468</v>
      </c>
    </row>
    <row r="17" spans="2:7" ht="36.75" thickBot="1" x14ac:dyDescent="0.3">
      <c r="B17" s="27" t="s">
        <v>1042</v>
      </c>
      <c r="C17" s="16" t="s">
        <v>1030</v>
      </c>
      <c r="D17" s="17" t="s">
        <v>1031</v>
      </c>
      <c r="E17" s="14">
        <v>45627</v>
      </c>
      <c r="F17" s="17" t="s">
        <v>1014</v>
      </c>
      <c r="G17" s="28"/>
    </row>
    <row r="18" spans="2:7" ht="15.75" thickBot="1" x14ac:dyDescent="0.3">
      <c r="B18" s="27" t="s">
        <v>1043</v>
      </c>
      <c r="C18" s="16" t="s">
        <v>1030</v>
      </c>
      <c r="D18" s="17" t="s">
        <v>1034</v>
      </c>
      <c r="E18" s="14">
        <v>45717</v>
      </c>
      <c r="F18" s="17" t="s">
        <v>1035</v>
      </c>
      <c r="G18" s="28"/>
    </row>
    <row r="19" spans="2:7" ht="84.75" thickBot="1" x14ac:dyDescent="0.3">
      <c r="B19" s="27" t="s">
        <v>1044</v>
      </c>
      <c r="C19" s="16" t="s">
        <v>1030</v>
      </c>
      <c r="D19" s="17" t="s">
        <v>1031</v>
      </c>
      <c r="E19" s="14">
        <v>45809</v>
      </c>
      <c r="F19" s="17" t="s">
        <v>1045</v>
      </c>
      <c r="G19" s="28"/>
    </row>
    <row r="20" spans="2:7" ht="84.75" thickBot="1" x14ac:dyDescent="0.3">
      <c r="B20" s="27" t="s">
        <v>1046</v>
      </c>
      <c r="C20" s="16" t="s">
        <v>1030</v>
      </c>
      <c r="D20" s="17" t="s">
        <v>1031</v>
      </c>
      <c r="E20" s="14">
        <v>45809</v>
      </c>
      <c r="F20" s="17" t="s">
        <v>1047</v>
      </c>
      <c r="G20" s="28"/>
    </row>
    <row r="21" spans="2:7" ht="24.75" thickBot="1" x14ac:dyDescent="0.3">
      <c r="B21" s="27" t="s">
        <v>1048</v>
      </c>
      <c r="C21" s="16" t="s">
        <v>1049</v>
      </c>
      <c r="D21" s="17" t="s">
        <v>1034</v>
      </c>
      <c r="E21" s="14">
        <v>45901</v>
      </c>
      <c r="F21" s="17" t="s">
        <v>1050</v>
      </c>
      <c r="G21" s="28"/>
    </row>
    <row r="22" spans="2:7" ht="24.75" thickBot="1" x14ac:dyDescent="0.3">
      <c r="B22" s="27" t="s">
        <v>1051</v>
      </c>
      <c r="C22" s="16" t="s">
        <v>1049</v>
      </c>
      <c r="D22" s="17" t="s">
        <v>1034</v>
      </c>
      <c r="E22" s="14">
        <v>45901</v>
      </c>
      <c r="F22" s="17" t="s">
        <v>982</v>
      </c>
      <c r="G22" s="28"/>
    </row>
    <row r="23" spans="2:7" ht="36.75" thickBot="1" x14ac:dyDescent="0.3">
      <c r="B23" s="27" t="s">
        <v>1052</v>
      </c>
      <c r="C23" s="16" t="s">
        <v>1030</v>
      </c>
      <c r="D23" s="17" t="s">
        <v>1034</v>
      </c>
      <c r="E23" s="14">
        <v>45901</v>
      </c>
      <c r="F23" s="17" t="s">
        <v>1053</v>
      </c>
      <c r="G23" s="28"/>
    </row>
    <row r="24" spans="2:7" ht="45.75" thickBot="1" x14ac:dyDescent="0.3">
      <c r="B24" s="27" t="s">
        <v>1054</v>
      </c>
      <c r="C24" s="16" t="s">
        <v>1049</v>
      </c>
      <c r="D24" s="17" t="s">
        <v>985</v>
      </c>
      <c r="E24" s="14">
        <v>45992</v>
      </c>
      <c r="F24" s="17" t="s">
        <v>1055</v>
      </c>
      <c r="G24" s="28" t="s">
        <v>1056</v>
      </c>
    </row>
    <row r="25" spans="2:7" ht="24.75" thickBot="1" x14ac:dyDescent="0.3">
      <c r="B25" s="27" t="s">
        <v>1057</v>
      </c>
      <c r="C25" s="16" t="s">
        <v>1049</v>
      </c>
      <c r="D25" s="17" t="s">
        <v>1034</v>
      </c>
      <c r="E25" s="14">
        <v>46082</v>
      </c>
      <c r="F25" s="17" t="s">
        <v>1058</v>
      </c>
      <c r="G25" s="28"/>
    </row>
    <row r="26" spans="2:7" ht="36.75" thickBot="1" x14ac:dyDescent="0.3">
      <c r="B26" s="27" t="s">
        <v>1059</v>
      </c>
      <c r="C26" s="16" t="s">
        <v>1049</v>
      </c>
      <c r="D26" s="17" t="s">
        <v>985</v>
      </c>
      <c r="E26" s="14">
        <v>46539</v>
      </c>
      <c r="F26" s="17" t="s">
        <v>1028</v>
      </c>
      <c r="G26" s="28"/>
    </row>
    <row r="27" spans="2:7" ht="60.75" thickBot="1" x14ac:dyDescent="0.3">
      <c r="B27" s="27" t="s">
        <v>1060</v>
      </c>
      <c r="C27" s="16" t="s">
        <v>1049</v>
      </c>
      <c r="D27" s="17" t="s">
        <v>985</v>
      </c>
      <c r="E27" s="14">
        <v>46874</v>
      </c>
      <c r="F27" s="17" t="s">
        <v>1061</v>
      </c>
      <c r="G27" s="28" t="s">
        <v>1062</v>
      </c>
    </row>
    <row r="28" spans="2:7" ht="24.75" thickBot="1" x14ac:dyDescent="0.3">
      <c r="B28" s="27" t="s">
        <v>1063</v>
      </c>
      <c r="C28" s="16" t="s">
        <v>1064</v>
      </c>
      <c r="D28" s="17" t="s">
        <v>1065</v>
      </c>
      <c r="E28" s="14">
        <v>46143</v>
      </c>
      <c r="F28" s="17" t="s">
        <v>1066</v>
      </c>
      <c r="G28" s="28"/>
    </row>
    <row r="29" spans="2:7" ht="36.75" thickBot="1" x14ac:dyDescent="0.3">
      <c r="B29" s="27" t="s">
        <v>1067</v>
      </c>
      <c r="C29" s="16" t="s">
        <v>1049</v>
      </c>
      <c r="D29" s="17" t="s">
        <v>1065</v>
      </c>
      <c r="E29" s="14">
        <v>46508</v>
      </c>
      <c r="F29" s="17" t="s">
        <v>1028</v>
      </c>
      <c r="G29" s="28"/>
    </row>
    <row r="30" spans="2:7" ht="36.75" thickBot="1" x14ac:dyDescent="0.3">
      <c r="B30" s="27" t="s">
        <v>1068</v>
      </c>
      <c r="C30" s="16" t="s">
        <v>1049</v>
      </c>
      <c r="D30" s="17" t="s">
        <v>1065</v>
      </c>
      <c r="E30" s="14">
        <v>46508</v>
      </c>
      <c r="F30" s="17" t="s">
        <v>1028</v>
      </c>
      <c r="G30" s="28"/>
    </row>
    <row r="31" spans="2:7" ht="24.75" thickBot="1" x14ac:dyDescent="0.3">
      <c r="B31" s="27" t="s">
        <v>1069</v>
      </c>
      <c r="C31" s="16" t="s">
        <v>1064</v>
      </c>
      <c r="D31" s="17" t="s">
        <v>1065</v>
      </c>
      <c r="E31" s="14">
        <v>46143</v>
      </c>
      <c r="F31" s="17" t="s">
        <v>1028</v>
      </c>
      <c r="G31" s="28"/>
    </row>
    <row r="32" spans="2:7" ht="24.75" thickBot="1" x14ac:dyDescent="0.3">
      <c r="B32" s="27" t="s">
        <v>1070</v>
      </c>
      <c r="C32" s="16" t="s">
        <v>1064</v>
      </c>
      <c r="D32" s="17" t="s">
        <v>1002</v>
      </c>
      <c r="E32" s="14">
        <v>47119</v>
      </c>
      <c r="F32" s="17" t="s">
        <v>1028</v>
      </c>
      <c r="G32" s="28"/>
    </row>
    <row r="33" x14ac:dyDescent="0.25"/>
    <row r="34" x14ac:dyDescent="0.25"/>
    <row r="35" x14ac:dyDescent="0.25"/>
  </sheetData>
  <autoFilter ref="A3:G32" xr:uid="{00000000-0001-0000-0600-000000000000}"/>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5" tint="-0.499984740745262"/>
  </sheetPr>
  <dimension ref="A1:I42"/>
  <sheetViews>
    <sheetView zoomScaleNormal="100" workbookViewId="0"/>
  </sheetViews>
  <sheetFormatPr baseColWidth="10" defaultColWidth="0" defaultRowHeight="15" zeroHeight="1" x14ac:dyDescent="0.25"/>
  <cols>
    <col min="1" max="1" width="11.42578125" style="3" customWidth="1"/>
    <col min="2" max="2" width="25.140625" style="3" customWidth="1"/>
    <col min="3" max="6" width="11.42578125" style="3" customWidth="1"/>
    <col min="7" max="7" width="14.140625" style="3" customWidth="1"/>
    <col min="8" max="9" width="11.42578125" style="3" customWidth="1"/>
    <col min="10" max="16384" width="11.42578125" style="3" hidden="1"/>
  </cols>
  <sheetData>
    <row r="1" spans="1:7" x14ac:dyDescent="0.25">
      <c r="A1" s="8" t="s">
        <v>9</v>
      </c>
      <c r="B1" s="8"/>
      <c r="C1" s="8"/>
      <c r="D1" s="8"/>
      <c r="E1" s="8"/>
      <c r="F1" s="8"/>
      <c r="G1" s="8"/>
    </row>
    <row r="2" spans="1:7" ht="15.75" thickBot="1" x14ac:dyDescent="0.3"/>
    <row r="3" spans="1:7" ht="72.75" thickBot="1" x14ac:dyDescent="0.3">
      <c r="B3" s="6" t="s">
        <v>16</v>
      </c>
      <c r="C3" s="7" t="s">
        <v>975</v>
      </c>
      <c r="D3" s="7" t="s">
        <v>976</v>
      </c>
      <c r="E3" s="7" t="s">
        <v>977</v>
      </c>
      <c r="F3" s="7" t="s">
        <v>978</v>
      </c>
      <c r="G3" s="7" t="s">
        <v>26</v>
      </c>
    </row>
    <row r="4" spans="1:7" ht="84.75" thickBot="1" x14ac:dyDescent="0.3">
      <c r="B4" s="30" t="s">
        <v>1071</v>
      </c>
      <c r="C4" s="16" t="s">
        <v>980</v>
      </c>
      <c r="D4" s="25" t="s">
        <v>981</v>
      </c>
      <c r="E4" s="26">
        <v>45108</v>
      </c>
      <c r="F4" s="25" t="s">
        <v>1072</v>
      </c>
      <c r="G4" s="31" t="s">
        <v>1073</v>
      </c>
    </row>
    <row r="5" spans="1:7" ht="72.75" thickBot="1" x14ac:dyDescent="0.3">
      <c r="B5" s="30" t="s">
        <v>1074</v>
      </c>
      <c r="C5" s="16" t="s">
        <v>980</v>
      </c>
      <c r="D5" s="25" t="s">
        <v>981</v>
      </c>
      <c r="E5" s="26">
        <v>45292</v>
      </c>
      <c r="F5" s="25" t="s">
        <v>1072</v>
      </c>
      <c r="G5" s="31" t="s">
        <v>1073</v>
      </c>
    </row>
    <row r="6" spans="1:7" ht="84.75" thickBot="1" x14ac:dyDescent="0.3">
      <c r="B6" s="30" t="s">
        <v>1076</v>
      </c>
      <c r="C6" s="16" t="s">
        <v>988</v>
      </c>
      <c r="D6" s="25" t="s">
        <v>1075</v>
      </c>
      <c r="E6" s="26">
        <v>45444</v>
      </c>
      <c r="F6" s="25" t="s">
        <v>1077</v>
      </c>
      <c r="G6" s="31" t="s">
        <v>1078</v>
      </c>
    </row>
    <row r="7" spans="1:7" ht="72.75" thickBot="1" x14ac:dyDescent="0.3">
      <c r="B7" s="30" t="s">
        <v>1079</v>
      </c>
      <c r="C7" s="16" t="s">
        <v>988</v>
      </c>
      <c r="D7" s="25" t="s">
        <v>1075</v>
      </c>
      <c r="E7" s="26">
        <v>45444</v>
      </c>
      <c r="F7" s="25" t="s">
        <v>1080</v>
      </c>
      <c r="G7" s="31" t="s">
        <v>1081</v>
      </c>
    </row>
    <row r="8" spans="1:7" ht="84.75" thickBot="1" x14ac:dyDescent="0.3">
      <c r="B8" s="30" t="s">
        <v>1082</v>
      </c>
      <c r="C8" s="16" t="s">
        <v>980</v>
      </c>
      <c r="D8" s="25" t="s">
        <v>981</v>
      </c>
      <c r="E8" s="26">
        <v>45658</v>
      </c>
      <c r="F8" s="25" t="s">
        <v>901</v>
      </c>
      <c r="G8" s="31"/>
    </row>
    <row r="9" spans="1:7" ht="36.75" thickBot="1" x14ac:dyDescent="0.3">
      <c r="B9" s="30" t="s">
        <v>1083</v>
      </c>
      <c r="C9" s="16" t="s">
        <v>980</v>
      </c>
      <c r="D9" s="25" t="s">
        <v>1013</v>
      </c>
      <c r="E9" s="26">
        <v>45658</v>
      </c>
      <c r="F9" s="25" t="s">
        <v>1028</v>
      </c>
      <c r="G9" s="31"/>
    </row>
    <row r="10" spans="1:7" ht="48.75" thickBot="1" x14ac:dyDescent="0.3">
      <c r="B10" s="30" t="s">
        <v>1084</v>
      </c>
      <c r="C10" s="16" t="s">
        <v>980</v>
      </c>
      <c r="D10" s="25" t="s">
        <v>1085</v>
      </c>
      <c r="E10" s="26">
        <v>45748</v>
      </c>
      <c r="F10" s="25" t="s">
        <v>1086</v>
      </c>
      <c r="G10" s="31"/>
    </row>
    <row r="11" spans="1:7" ht="48.75" thickBot="1" x14ac:dyDescent="0.3">
      <c r="B11" s="30" t="s">
        <v>1087</v>
      </c>
      <c r="C11" s="16" t="s">
        <v>980</v>
      </c>
      <c r="D11" s="25" t="s">
        <v>1085</v>
      </c>
      <c r="E11" s="26">
        <v>45748</v>
      </c>
      <c r="F11" s="25" t="s">
        <v>1086</v>
      </c>
      <c r="G11" s="31"/>
    </row>
    <row r="12" spans="1:7" ht="24.75" thickBot="1" x14ac:dyDescent="0.3">
      <c r="B12" s="30" t="s">
        <v>1088</v>
      </c>
      <c r="C12" s="16" t="s">
        <v>1089</v>
      </c>
      <c r="D12" s="25" t="s">
        <v>1085</v>
      </c>
      <c r="E12" s="26">
        <v>45748</v>
      </c>
      <c r="F12" s="25" t="s">
        <v>1028</v>
      </c>
      <c r="G12" s="31"/>
    </row>
    <row r="13" spans="1:7" ht="72.75" thickBot="1" x14ac:dyDescent="0.3">
      <c r="B13" s="30" t="s">
        <v>1090</v>
      </c>
      <c r="C13" s="16" t="s">
        <v>1089</v>
      </c>
      <c r="D13" s="25" t="s">
        <v>1085</v>
      </c>
      <c r="E13" s="26">
        <v>45748</v>
      </c>
      <c r="F13" s="25" t="s">
        <v>1072</v>
      </c>
      <c r="G13" s="31" t="s">
        <v>1091</v>
      </c>
    </row>
    <row r="14" spans="1:7" ht="48.75" thickBot="1" x14ac:dyDescent="0.3">
      <c r="B14" s="30" t="s">
        <v>1092</v>
      </c>
      <c r="C14" s="16" t="s">
        <v>1089</v>
      </c>
      <c r="D14" s="25" t="s">
        <v>1085</v>
      </c>
      <c r="E14" s="26">
        <v>45748</v>
      </c>
      <c r="F14" s="25" t="s">
        <v>1086</v>
      </c>
      <c r="G14" s="31"/>
    </row>
    <row r="15" spans="1:7" ht="48.75" thickBot="1" x14ac:dyDescent="0.3">
      <c r="B15" s="30" t="s">
        <v>1093</v>
      </c>
      <c r="C15" s="16" t="s">
        <v>1089</v>
      </c>
      <c r="D15" s="25" t="s">
        <v>1085</v>
      </c>
      <c r="E15" s="26">
        <v>45748</v>
      </c>
      <c r="F15" s="25" t="s">
        <v>1086</v>
      </c>
      <c r="G15" s="31"/>
    </row>
    <row r="16" spans="1:7" ht="72.75" thickBot="1" x14ac:dyDescent="0.3">
      <c r="B16" s="30" t="s">
        <v>1094</v>
      </c>
      <c r="C16" s="16" t="s">
        <v>1089</v>
      </c>
      <c r="D16" s="25" t="s">
        <v>1085</v>
      </c>
      <c r="E16" s="26">
        <v>45748</v>
      </c>
      <c r="F16" s="25" t="s">
        <v>1095</v>
      </c>
      <c r="G16" s="31" t="s">
        <v>1096</v>
      </c>
    </row>
    <row r="17" spans="2:7" ht="72.75" thickBot="1" x14ac:dyDescent="0.3">
      <c r="B17" s="30" t="s">
        <v>1097</v>
      </c>
      <c r="C17" s="16" t="s">
        <v>1089</v>
      </c>
      <c r="D17" s="25" t="s">
        <v>1085</v>
      </c>
      <c r="E17" s="26">
        <v>45748</v>
      </c>
      <c r="F17" s="25" t="s">
        <v>1095</v>
      </c>
      <c r="G17" s="31" t="s">
        <v>1096</v>
      </c>
    </row>
    <row r="18" spans="2:7" ht="60.75" thickBot="1" x14ac:dyDescent="0.3">
      <c r="B18" s="30" t="s">
        <v>1098</v>
      </c>
      <c r="C18" s="16" t="s">
        <v>984</v>
      </c>
      <c r="D18" s="25" t="s">
        <v>985</v>
      </c>
      <c r="E18" s="26">
        <v>45992</v>
      </c>
      <c r="F18" s="25" t="s">
        <v>1099</v>
      </c>
      <c r="G18" s="31"/>
    </row>
    <row r="19" spans="2:7" ht="60.75" thickBot="1" x14ac:dyDescent="0.3">
      <c r="B19" s="30" t="s">
        <v>1100</v>
      </c>
      <c r="C19" s="16" t="s">
        <v>984</v>
      </c>
      <c r="D19" s="25" t="s">
        <v>985</v>
      </c>
      <c r="E19" s="26">
        <v>45992</v>
      </c>
      <c r="F19" s="25" t="s">
        <v>1099</v>
      </c>
      <c r="G19" s="31"/>
    </row>
    <row r="20" spans="2:7" ht="24.75" thickBot="1" x14ac:dyDescent="0.3">
      <c r="B20" s="30" t="s">
        <v>1101</v>
      </c>
      <c r="C20" s="16" t="s">
        <v>984</v>
      </c>
      <c r="D20" s="25" t="s">
        <v>985</v>
      </c>
      <c r="E20" s="26">
        <v>46174</v>
      </c>
      <c r="F20" s="25" t="s">
        <v>1102</v>
      </c>
      <c r="G20" s="31"/>
    </row>
    <row r="21" spans="2:7" ht="36.75" thickBot="1" x14ac:dyDescent="0.3">
      <c r="B21" s="30" t="s">
        <v>1103</v>
      </c>
      <c r="C21" s="32" t="s">
        <v>984</v>
      </c>
      <c r="D21" s="25" t="s">
        <v>985</v>
      </c>
      <c r="E21" s="26">
        <v>46174</v>
      </c>
      <c r="F21" s="25" t="s">
        <v>901</v>
      </c>
      <c r="G21" s="15"/>
    </row>
    <row r="22" spans="2:7" ht="24.75" thickBot="1" x14ac:dyDescent="0.3">
      <c r="B22" s="30" t="s">
        <v>1104</v>
      </c>
      <c r="C22" s="32" t="s">
        <v>984</v>
      </c>
      <c r="D22" s="25" t="s">
        <v>1002</v>
      </c>
      <c r="E22" s="26">
        <v>46753</v>
      </c>
      <c r="F22" s="25" t="s">
        <v>1105</v>
      </c>
      <c r="G22" s="15"/>
    </row>
    <row r="23" spans="2:7" ht="72.75" thickBot="1" x14ac:dyDescent="0.3">
      <c r="B23" s="30" t="s">
        <v>1106</v>
      </c>
      <c r="C23" s="32" t="s">
        <v>1001</v>
      </c>
      <c r="D23" s="25" t="s">
        <v>1002</v>
      </c>
      <c r="E23" s="26">
        <v>46935</v>
      </c>
      <c r="F23" s="25" t="s">
        <v>1095</v>
      </c>
      <c r="G23" s="31" t="s">
        <v>1107</v>
      </c>
    </row>
    <row r="24" spans="2:7" ht="36.75" thickBot="1" x14ac:dyDescent="0.3">
      <c r="B24" s="30" t="s">
        <v>1108</v>
      </c>
      <c r="C24" s="32" t="s">
        <v>1001</v>
      </c>
      <c r="D24" s="25" t="s">
        <v>1002</v>
      </c>
      <c r="E24" s="26">
        <v>47119</v>
      </c>
      <c r="F24" s="25" t="s">
        <v>1109</v>
      </c>
      <c r="G24" s="15"/>
    </row>
    <row r="25" spans="2:7" ht="72.75" thickBot="1" x14ac:dyDescent="0.3">
      <c r="B25" s="30" t="s">
        <v>1110</v>
      </c>
      <c r="C25" s="32" t="s">
        <v>1001</v>
      </c>
      <c r="D25" s="25" t="s">
        <v>1002</v>
      </c>
      <c r="E25" s="26">
        <v>47119</v>
      </c>
      <c r="F25" s="25" t="s">
        <v>1109</v>
      </c>
      <c r="G25" s="15"/>
    </row>
    <row r="26" spans="2:7" ht="72.75" thickBot="1" x14ac:dyDescent="0.3">
      <c r="B26" s="30" t="s">
        <v>1111</v>
      </c>
      <c r="C26" s="32" t="s">
        <v>1001</v>
      </c>
      <c r="D26" s="25" t="s">
        <v>1002</v>
      </c>
      <c r="E26" s="26">
        <v>46935</v>
      </c>
      <c r="F26" s="25" t="s">
        <v>1095</v>
      </c>
      <c r="G26" s="31" t="s">
        <v>1107</v>
      </c>
    </row>
    <row r="27" spans="2:7" ht="72.75" thickBot="1" x14ac:dyDescent="0.3">
      <c r="B27" s="30" t="s">
        <v>1112</v>
      </c>
      <c r="C27" s="32" t="s">
        <v>1001</v>
      </c>
      <c r="D27" s="25" t="s">
        <v>1002</v>
      </c>
      <c r="E27" s="26">
        <v>47119</v>
      </c>
      <c r="F27" s="25" t="s">
        <v>1095</v>
      </c>
      <c r="G27" s="31" t="s">
        <v>1107</v>
      </c>
    </row>
    <row r="28" spans="2:7" ht="72.75" thickBot="1" x14ac:dyDescent="0.3">
      <c r="B28" s="30" t="s">
        <v>1113</v>
      </c>
      <c r="C28" s="32" t="s">
        <v>1001</v>
      </c>
      <c r="D28" s="25" t="s">
        <v>1002</v>
      </c>
      <c r="E28" s="26">
        <v>46935</v>
      </c>
      <c r="F28" s="25" t="s">
        <v>1095</v>
      </c>
      <c r="G28" s="31" t="s">
        <v>1107</v>
      </c>
    </row>
    <row r="29" spans="2:7" ht="72.75" thickBot="1" x14ac:dyDescent="0.3">
      <c r="B29" s="30" t="s">
        <v>1114</v>
      </c>
      <c r="C29" s="32" t="s">
        <v>1001</v>
      </c>
      <c r="D29" s="25" t="s">
        <v>1002</v>
      </c>
      <c r="E29" s="26">
        <v>47119</v>
      </c>
      <c r="F29" s="25" t="s">
        <v>1095</v>
      </c>
      <c r="G29" s="31" t="s">
        <v>1107</v>
      </c>
    </row>
    <row r="30" spans="2:7" ht="72.75" thickBot="1" x14ac:dyDescent="0.3">
      <c r="B30" s="30" t="s">
        <v>1115</v>
      </c>
      <c r="C30" s="32" t="s">
        <v>1001</v>
      </c>
      <c r="D30" s="25" t="s">
        <v>1002</v>
      </c>
      <c r="E30" s="26">
        <v>47484</v>
      </c>
      <c r="F30" s="31" t="s">
        <v>1471</v>
      </c>
      <c r="G30" s="31" t="s">
        <v>1470</v>
      </c>
    </row>
    <row r="31" spans="2:7" ht="60.75" thickBot="1" x14ac:dyDescent="0.3">
      <c r="B31" s="30" t="s">
        <v>1116</v>
      </c>
      <c r="C31" s="32" t="s">
        <v>1001</v>
      </c>
      <c r="D31" s="25" t="s">
        <v>1002</v>
      </c>
      <c r="E31" s="26">
        <v>47119</v>
      </c>
      <c r="F31" s="25" t="s">
        <v>1099</v>
      </c>
      <c r="G31" s="15"/>
    </row>
    <row r="32" spans="2:7" ht="60.75" thickBot="1" x14ac:dyDescent="0.3">
      <c r="B32" s="30" t="s">
        <v>1117</v>
      </c>
      <c r="C32" s="32" t="s">
        <v>1001</v>
      </c>
      <c r="D32" s="25" t="s">
        <v>1002</v>
      </c>
      <c r="E32" s="26">
        <v>47119</v>
      </c>
      <c r="F32" s="25" t="s">
        <v>1099</v>
      </c>
      <c r="G32" s="15"/>
    </row>
    <row r="33" spans="2:7" ht="60.75" thickBot="1" x14ac:dyDescent="0.3">
      <c r="B33" s="30" t="s">
        <v>1118</v>
      </c>
      <c r="C33" s="32" t="s">
        <v>1006</v>
      </c>
      <c r="D33" s="25" t="s">
        <v>1007</v>
      </c>
      <c r="E33" s="26">
        <v>46753</v>
      </c>
      <c r="F33" s="25" t="s">
        <v>1099</v>
      </c>
      <c r="G33" s="15"/>
    </row>
    <row r="34" spans="2:7" ht="36.75" thickBot="1" x14ac:dyDescent="0.3">
      <c r="B34" s="30" t="s">
        <v>1119</v>
      </c>
      <c r="C34" s="32" t="s">
        <v>1006</v>
      </c>
      <c r="D34" s="25" t="s">
        <v>1007</v>
      </c>
      <c r="E34" s="26">
        <v>46935</v>
      </c>
      <c r="F34" s="25" t="s">
        <v>1120</v>
      </c>
      <c r="G34" s="15"/>
    </row>
    <row r="35" spans="2:7" ht="36.75" thickBot="1" x14ac:dyDescent="0.3">
      <c r="B35" s="30" t="s">
        <v>1121</v>
      </c>
      <c r="C35" s="32" t="s">
        <v>1006</v>
      </c>
      <c r="D35" s="25" t="s">
        <v>1007</v>
      </c>
      <c r="E35" s="26">
        <v>46753</v>
      </c>
      <c r="F35" s="25" t="s">
        <v>1120</v>
      </c>
      <c r="G35" s="15"/>
    </row>
    <row r="36" spans="2:7" ht="60.75" thickBot="1" x14ac:dyDescent="0.3">
      <c r="B36" s="30" t="s">
        <v>1122</v>
      </c>
      <c r="C36" s="32" t="s">
        <v>1006</v>
      </c>
      <c r="D36" s="25" t="s">
        <v>1007</v>
      </c>
      <c r="E36" s="26">
        <v>46753</v>
      </c>
      <c r="F36" s="25" t="s">
        <v>1099</v>
      </c>
      <c r="G36" s="15"/>
    </row>
    <row r="37" spans="2:7" ht="60.75" thickBot="1" x14ac:dyDescent="0.3">
      <c r="B37" s="30" t="s">
        <v>1123</v>
      </c>
      <c r="C37" s="32" t="s">
        <v>1006</v>
      </c>
      <c r="D37" s="25" t="s">
        <v>1007</v>
      </c>
      <c r="E37" s="26">
        <v>46753</v>
      </c>
      <c r="F37" s="25" t="s">
        <v>1099</v>
      </c>
      <c r="G37" s="15"/>
    </row>
    <row r="38" spans="2:7" ht="60.75" thickBot="1" x14ac:dyDescent="0.3">
      <c r="B38" s="30" t="s">
        <v>1124</v>
      </c>
      <c r="C38" s="32" t="s">
        <v>1006</v>
      </c>
      <c r="D38" s="25" t="s">
        <v>1007</v>
      </c>
      <c r="E38" s="26">
        <v>46935</v>
      </c>
      <c r="F38" s="25" t="s">
        <v>1099</v>
      </c>
      <c r="G38" s="15"/>
    </row>
    <row r="39" spans="2:7" ht="36.75" thickBot="1" x14ac:dyDescent="0.3">
      <c r="B39" s="30" t="s">
        <v>1125</v>
      </c>
      <c r="C39" s="32" t="s">
        <v>1006</v>
      </c>
      <c r="D39" s="25" t="s">
        <v>1007</v>
      </c>
      <c r="E39" s="26">
        <v>46753</v>
      </c>
      <c r="F39" s="25" t="s">
        <v>1120</v>
      </c>
      <c r="G39" s="15"/>
    </row>
    <row r="40" spans="2:7" x14ac:dyDescent="0.25"/>
    <row r="41" spans="2:7" x14ac:dyDescent="0.25"/>
    <row r="42" spans="2:7" x14ac:dyDescent="0.25"/>
  </sheetData>
  <autoFilter ref="B3:G39" xr:uid="{00000000-0001-0000-0700-000000000000}"/>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5" tint="-0.249977111117893"/>
  </sheetPr>
  <dimension ref="A1:I92"/>
  <sheetViews>
    <sheetView zoomScaleNormal="100" workbookViewId="0"/>
  </sheetViews>
  <sheetFormatPr baseColWidth="10" defaultColWidth="0" defaultRowHeight="15" zeroHeight="1" x14ac:dyDescent="0.25"/>
  <cols>
    <col min="1" max="1" width="11.42578125" style="3" customWidth="1"/>
    <col min="2" max="2" width="23.7109375" style="3" customWidth="1"/>
    <col min="3" max="6" width="11.42578125" style="3" customWidth="1"/>
    <col min="7" max="7" width="24.140625" style="3" customWidth="1"/>
    <col min="8" max="9" width="11.42578125" style="3" customWidth="1"/>
    <col min="10" max="16384" width="11.42578125" style="3" hidden="1"/>
  </cols>
  <sheetData>
    <row r="1" spans="1:7" x14ac:dyDescent="0.25">
      <c r="A1" s="8" t="s">
        <v>1126</v>
      </c>
      <c r="B1" s="8"/>
      <c r="C1" s="8"/>
      <c r="D1" s="8"/>
      <c r="E1" s="8"/>
      <c r="F1" s="8"/>
      <c r="G1" s="8"/>
    </row>
    <row r="2" spans="1:7" ht="15.75" thickBot="1" x14ac:dyDescent="0.3"/>
    <row r="3" spans="1:7" ht="72.75" thickBot="1" x14ac:dyDescent="0.3">
      <c r="B3" s="6" t="s">
        <v>16</v>
      </c>
      <c r="C3" s="7" t="s">
        <v>975</v>
      </c>
      <c r="D3" s="7" t="s">
        <v>976</v>
      </c>
      <c r="E3" s="7" t="s">
        <v>977</v>
      </c>
      <c r="F3" s="7" t="s">
        <v>978</v>
      </c>
      <c r="G3" s="7" t="s">
        <v>26</v>
      </c>
    </row>
    <row r="4" spans="1:7" ht="36.75" thickBot="1" x14ac:dyDescent="0.3">
      <c r="B4" s="29" t="s">
        <v>1127</v>
      </c>
      <c r="C4" s="17" t="s">
        <v>1012</v>
      </c>
      <c r="D4" s="25" t="s">
        <v>1027</v>
      </c>
      <c r="E4" s="26">
        <v>44531</v>
      </c>
      <c r="F4" s="25" t="s">
        <v>1128</v>
      </c>
      <c r="G4" s="17"/>
    </row>
    <row r="5" spans="1:7" ht="36.75" thickBot="1" x14ac:dyDescent="0.3">
      <c r="B5" s="29" t="s">
        <v>1129</v>
      </c>
      <c r="C5" s="17" t="s">
        <v>1012</v>
      </c>
      <c r="D5" s="25" t="s">
        <v>1027</v>
      </c>
      <c r="E5" s="26">
        <v>44896</v>
      </c>
      <c r="F5" s="25" t="s">
        <v>1028</v>
      </c>
      <c r="G5" s="17"/>
    </row>
    <row r="6" spans="1:7" ht="48.75" thickBot="1" x14ac:dyDescent="0.3">
      <c r="B6" s="29" t="s">
        <v>1130</v>
      </c>
      <c r="C6" s="17" t="s">
        <v>1012</v>
      </c>
      <c r="D6" s="25" t="s">
        <v>1027</v>
      </c>
      <c r="E6" s="26">
        <v>44896</v>
      </c>
      <c r="F6" s="25" t="s">
        <v>1131</v>
      </c>
      <c r="G6" s="17"/>
    </row>
    <row r="7" spans="1:7" ht="36.75" thickBot="1" x14ac:dyDescent="0.3">
      <c r="B7" s="29" t="s">
        <v>1132</v>
      </c>
      <c r="C7" s="17" t="s">
        <v>1012</v>
      </c>
      <c r="D7" s="25" t="s">
        <v>1027</v>
      </c>
      <c r="E7" s="26">
        <v>44896</v>
      </c>
      <c r="F7" s="25" t="s">
        <v>1133</v>
      </c>
      <c r="G7" s="17"/>
    </row>
    <row r="8" spans="1:7" ht="24.75" thickBot="1" x14ac:dyDescent="0.3">
      <c r="B8" s="29" t="s">
        <v>1134</v>
      </c>
      <c r="C8" s="17" t="s">
        <v>1012</v>
      </c>
      <c r="D8" s="25" t="s">
        <v>1027</v>
      </c>
      <c r="E8" s="26">
        <v>44896</v>
      </c>
      <c r="F8" s="25" t="s">
        <v>1133</v>
      </c>
      <c r="G8" s="17"/>
    </row>
    <row r="9" spans="1:7" ht="36.75" thickBot="1" x14ac:dyDescent="0.3">
      <c r="B9" s="29" t="s">
        <v>1135</v>
      </c>
      <c r="C9" s="17" t="s">
        <v>1012</v>
      </c>
      <c r="D9" s="25" t="s">
        <v>1027</v>
      </c>
      <c r="E9" s="26">
        <v>44896</v>
      </c>
      <c r="F9" s="25" t="s">
        <v>1136</v>
      </c>
      <c r="G9" s="17"/>
    </row>
    <row r="10" spans="1:7" ht="24.75" thickBot="1" x14ac:dyDescent="0.3">
      <c r="B10" s="29" t="s">
        <v>1137</v>
      </c>
      <c r="C10" s="16" t="s">
        <v>1012</v>
      </c>
      <c r="D10" s="25" t="s">
        <v>1138</v>
      </c>
      <c r="E10" s="26">
        <v>44896</v>
      </c>
      <c r="F10" s="25" t="s">
        <v>1133</v>
      </c>
      <c r="G10" s="17"/>
    </row>
    <row r="11" spans="1:7" ht="36.75" thickBot="1" x14ac:dyDescent="0.3">
      <c r="B11" s="29" t="s">
        <v>1139</v>
      </c>
      <c r="C11" s="16" t="s">
        <v>1016</v>
      </c>
      <c r="D11" s="25" t="s">
        <v>1017</v>
      </c>
      <c r="E11" s="26">
        <v>46508</v>
      </c>
      <c r="F11" s="25" t="s">
        <v>1140</v>
      </c>
      <c r="G11" s="17" t="s">
        <v>1062</v>
      </c>
    </row>
    <row r="12" spans="1:7" ht="48.75" thickBot="1" x14ac:dyDescent="0.3">
      <c r="B12" s="29" t="s">
        <v>1141</v>
      </c>
      <c r="C12" s="16" t="s">
        <v>1016</v>
      </c>
      <c r="D12" s="25" t="s">
        <v>1017</v>
      </c>
      <c r="E12" s="26">
        <v>45017</v>
      </c>
      <c r="F12" s="25" t="s">
        <v>1140</v>
      </c>
      <c r="G12" s="17"/>
    </row>
    <row r="13" spans="1:7" ht="36.75" thickBot="1" x14ac:dyDescent="0.3">
      <c r="B13" s="29" t="s">
        <v>1142</v>
      </c>
      <c r="C13" s="16" t="s">
        <v>1016</v>
      </c>
      <c r="D13" s="25" t="s">
        <v>1017</v>
      </c>
      <c r="E13" s="26">
        <v>45017</v>
      </c>
      <c r="F13" s="25" t="s">
        <v>1140</v>
      </c>
      <c r="G13" s="17"/>
    </row>
    <row r="14" spans="1:7" ht="24.75" thickBot="1" x14ac:dyDescent="0.3">
      <c r="B14" s="29" t="s">
        <v>1143</v>
      </c>
      <c r="C14" s="16" t="s">
        <v>1016</v>
      </c>
      <c r="D14" s="25" t="s">
        <v>1017</v>
      </c>
      <c r="E14" s="26">
        <v>45017</v>
      </c>
      <c r="F14" s="25" t="s">
        <v>1144</v>
      </c>
      <c r="G14" s="17"/>
    </row>
    <row r="15" spans="1:7" ht="72.75" thickBot="1" x14ac:dyDescent="0.3">
      <c r="B15" s="29" t="s">
        <v>1145</v>
      </c>
      <c r="C15" s="16" t="s">
        <v>1016</v>
      </c>
      <c r="D15" s="25" t="s">
        <v>1017</v>
      </c>
      <c r="E15" s="26">
        <v>45017</v>
      </c>
      <c r="F15" s="25" t="s">
        <v>1018</v>
      </c>
      <c r="G15" s="17" t="s">
        <v>1146</v>
      </c>
    </row>
    <row r="16" spans="1:7" ht="15.75" thickBot="1" x14ac:dyDescent="0.3">
      <c r="B16" s="29" t="s">
        <v>1147</v>
      </c>
      <c r="C16" s="16" t="s">
        <v>1016</v>
      </c>
      <c r="D16" s="25" t="s">
        <v>1017</v>
      </c>
      <c r="E16" s="26">
        <v>45017</v>
      </c>
      <c r="F16" s="25" t="s">
        <v>1023</v>
      </c>
      <c r="G16" s="17"/>
    </row>
    <row r="17" spans="2:7" ht="36.75" thickBot="1" x14ac:dyDescent="0.3">
      <c r="B17" s="29" t="s">
        <v>1148</v>
      </c>
      <c r="C17" s="16" t="s">
        <v>1016</v>
      </c>
      <c r="D17" s="25" t="s">
        <v>1017</v>
      </c>
      <c r="E17" s="26">
        <v>45017</v>
      </c>
      <c r="F17" s="25" t="s">
        <v>1149</v>
      </c>
      <c r="G17" s="17"/>
    </row>
    <row r="18" spans="2:7" ht="24.75" thickBot="1" x14ac:dyDescent="0.3">
      <c r="B18" s="29" t="s">
        <v>1150</v>
      </c>
      <c r="C18" s="16" t="s">
        <v>1016</v>
      </c>
      <c r="D18" s="25" t="s">
        <v>1017</v>
      </c>
      <c r="E18" s="26">
        <v>45017</v>
      </c>
      <c r="F18" s="25" t="s">
        <v>1133</v>
      </c>
      <c r="G18" s="17"/>
    </row>
    <row r="19" spans="2:7" ht="15.75" thickBot="1" x14ac:dyDescent="0.3">
      <c r="B19" s="29" t="s">
        <v>1151</v>
      </c>
      <c r="C19" s="16" t="s">
        <v>1016</v>
      </c>
      <c r="D19" s="25" t="s">
        <v>1017</v>
      </c>
      <c r="E19" s="26">
        <v>45017</v>
      </c>
      <c r="F19" s="25" t="s">
        <v>1023</v>
      </c>
      <c r="G19" s="17"/>
    </row>
    <row r="20" spans="2:7" ht="15.75" thickBot="1" x14ac:dyDescent="0.3">
      <c r="B20" s="29" t="s">
        <v>1152</v>
      </c>
      <c r="C20" s="16" t="s">
        <v>1016</v>
      </c>
      <c r="D20" s="25" t="s">
        <v>1017</v>
      </c>
      <c r="E20" s="26">
        <v>45017</v>
      </c>
      <c r="F20" s="25" t="s">
        <v>1023</v>
      </c>
      <c r="G20" s="17"/>
    </row>
    <row r="21" spans="2:7" ht="36.75" thickBot="1" x14ac:dyDescent="0.3">
      <c r="B21" s="29" t="s">
        <v>1153</v>
      </c>
      <c r="C21" s="16" t="s">
        <v>1016</v>
      </c>
      <c r="D21" s="25" t="s">
        <v>1017</v>
      </c>
      <c r="E21" s="26">
        <v>46508</v>
      </c>
      <c r="F21" s="25" t="s">
        <v>1154</v>
      </c>
      <c r="G21" s="17" t="s">
        <v>1062</v>
      </c>
    </row>
    <row r="22" spans="2:7" ht="36.75" thickBot="1" x14ac:dyDescent="0.3">
      <c r="B22" s="29" t="s">
        <v>1155</v>
      </c>
      <c r="C22" s="16" t="s">
        <v>1016</v>
      </c>
      <c r="D22" s="25" t="s">
        <v>1017</v>
      </c>
      <c r="E22" s="26">
        <v>46508</v>
      </c>
      <c r="F22" s="25" t="s">
        <v>1154</v>
      </c>
      <c r="G22" s="17" t="s">
        <v>1062</v>
      </c>
    </row>
    <row r="23" spans="2:7" ht="36.75" thickBot="1" x14ac:dyDescent="0.3">
      <c r="B23" s="29" t="s">
        <v>1156</v>
      </c>
      <c r="C23" s="16" t="s">
        <v>1016</v>
      </c>
      <c r="D23" s="25" t="s">
        <v>1017</v>
      </c>
      <c r="E23" s="26">
        <v>46508</v>
      </c>
      <c r="F23" s="25" t="s">
        <v>1154</v>
      </c>
      <c r="G23" s="17" t="s">
        <v>1062</v>
      </c>
    </row>
    <row r="24" spans="2:7" ht="15.75" thickBot="1" x14ac:dyDescent="0.3">
      <c r="B24" s="29" t="s">
        <v>1157</v>
      </c>
      <c r="C24" s="16" t="s">
        <v>1016</v>
      </c>
      <c r="D24" s="25" t="s">
        <v>1017</v>
      </c>
      <c r="E24" s="26">
        <v>45017</v>
      </c>
      <c r="F24" s="25" t="s">
        <v>1023</v>
      </c>
      <c r="G24" s="17"/>
    </row>
    <row r="25" spans="2:7" ht="15.75" thickBot="1" x14ac:dyDescent="0.3">
      <c r="B25" s="29" t="s">
        <v>1158</v>
      </c>
      <c r="C25" s="16" t="s">
        <v>1016</v>
      </c>
      <c r="D25" s="25" t="s">
        <v>1017</v>
      </c>
      <c r="E25" s="26">
        <v>45017</v>
      </c>
      <c r="F25" s="25" t="s">
        <v>1023</v>
      </c>
      <c r="G25" s="17"/>
    </row>
    <row r="26" spans="2:7" ht="36.75" thickBot="1" x14ac:dyDescent="0.3">
      <c r="B26" s="29" t="s">
        <v>1159</v>
      </c>
      <c r="C26" s="16" t="s">
        <v>1016</v>
      </c>
      <c r="D26" s="25" t="s">
        <v>1017</v>
      </c>
      <c r="E26" s="26">
        <v>45017</v>
      </c>
      <c r="F26" s="25" t="s">
        <v>1023</v>
      </c>
      <c r="G26" s="17"/>
    </row>
    <row r="27" spans="2:7" ht="24.75" thickBot="1" x14ac:dyDescent="0.3">
      <c r="B27" s="29" t="s">
        <v>1160</v>
      </c>
      <c r="C27" s="16" t="s">
        <v>1016</v>
      </c>
      <c r="D27" s="25" t="s">
        <v>1017</v>
      </c>
      <c r="E27" s="26">
        <v>45017</v>
      </c>
      <c r="F27" s="25" t="s">
        <v>1023</v>
      </c>
      <c r="G27" s="17"/>
    </row>
    <row r="28" spans="2:7" ht="48.75" thickBot="1" x14ac:dyDescent="0.3">
      <c r="B28" s="29" t="s">
        <v>1161</v>
      </c>
      <c r="C28" s="16" t="s">
        <v>1016</v>
      </c>
      <c r="D28" s="25" t="s">
        <v>1017</v>
      </c>
      <c r="E28" s="26">
        <v>45017</v>
      </c>
      <c r="F28" s="25" t="s">
        <v>1023</v>
      </c>
      <c r="G28" s="17"/>
    </row>
    <row r="29" spans="2:7" ht="48.75" thickBot="1" x14ac:dyDescent="0.3">
      <c r="B29" s="29" t="s">
        <v>1162</v>
      </c>
      <c r="C29" s="16" t="s">
        <v>1016</v>
      </c>
      <c r="D29" s="25" t="s">
        <v>1017</v>
      </c>
      <c r="E29" s="26">
        <v>46631</v>
      </c>
      <c r="F29" s="25" t="s">
        <v>1023</v>
      </c>
      <c r="G29" s="17" t="s">
        <v>1469</v>
      </c>
    </row>
    <row r="30" spans="2:7" ht="60.75" thickBot="1" x14ac:dyDescent="0.3">
      <c r="B30" s="29" t="s">
        <v>1163</v>
      </c>
      <c r="C30" s="16" t="s">
        <v>1016</v>
      </c>
      <c r="D30" s="25" t="s">
        <v>1017</v>
      </c>
      <c r="E30" s="26">
        <v>45017</v>
      </c>
      <c r="F30" s="25" t="s">
        <v>1023</v>
      </c>
      <c r="G30" s="17"/>
    </row>
    <row r="31" spans="2:7" ht="36.75" thickBot="1" x14ac:dyDescent="0.3">
      <c r="B31" s="29" t="s">
        <v>1164</v>
      </c>
      <c r="C31" s="16" t="s">
        <v>1016</v>
      </c>
      <c r="D31" s="25" t="s">
        <v>1017</v>
      </c>
      <c r="E31" s="26">
        <v>46508</v>
      </c>
      <c r="F31" s="25" t="s">
        <v>1023</v>
      </c>
      <c r="G31" s="17" t="s">
        <v>1062</v>
      </c>
    </row>
    <row r="32" spans="2:7" ht="48.75" thickBot="1" x14ac:dyDescent="0.3">
      <c r="B32" s="29" t="s">
        <v>1165</v>
      </c>
      <c r="C32" s="16" t="s">
        <v>1016</v>
      </c>
      <c r="D32" s="25" t="s">
        <v>1017</v>
      </c>
      <c r="E32" s="26">
        <v>45017</v>
      </c>
      <c r="F32" s="25" t="s">
        <v>1166</v>
      </c>
      <c r="G32" s="17"/>
    </row>
    <row r="33" spans="1:7" ht="36.75" thickBot="1" x14ac:dyDescent="0.3">
      <c r="B33" s="29" t="s">
        <v>1167</v>
      </c>
      <c r="C33" s="16" t="s">
        <v>1016</v>
      </c>
      <c r="D33" s="25" t="s">
        <v>1017</v>
      </c>
      <c r="E33" s="26">
        <v>46508</v>
      </c>
      <c r="F33" s="25" t="s">
        <v>1023</v>
      </c>
      <c r="G33" s="17" t="s">
        <v>1062</v>
      </c>
    </row>
    <row r="34" spans="1:7" ht="15.75" thickBot="1" x14ac:dyDescent="0.3">
      <c r="B34" s="29" t="s">
        <v>1168</v>
      </c>
      <c r="C34" s="16" t="s">
        <v>1016</v>
      </c>
      <c r="D34" s="25" t="s">
        <v>1017</v>
      </c>
      <c r="E34" s="26">
        <v>45017</v>
      </c>
      <c r="F34" s="25" t="s">
        <v>1023</v>
      </c>
      <c r="G34" s="17"/>
    </row>
    <row r="35" spans="1:7" ht="15.75" thickBot="1" x14ac:dyDescent="0.3">
      <c r="B35" s="29" t="s">
        <v>1169</v>
      </c>
      <c r="C35" s="16" t="s">
        <v>1016</v>
      </c>
      <c r="D35" s="25" t="s">
        <v>1017</v>
      </c>
      <c r="E35" s="26">
        <v>45017</v>
      </c>
      <c r="F35" s="25" t="s">
        <v>1023</v>
      </c>
      <c r="G35" s="17"/>
    </row>
    <row r="36" spans="1:7" ht="36.75" thickBot="1" x14ac:dyDescent="0.3">
      <c r="B36" s="29" t="s">
        <v>1170</v>
      </c>
      <c r="C36" s="16" t="s">
        <v>1016</v>
      </c>
      <c r="D36" s="25" t="s">
        <v>1017</v>
      </c>
      <c r="E36" s="26">
        <v>45017</v>
      </c>
      <c r="F36" s="25" t="s">
        <v>1136</v>
      </c>
      <c r="G36" s="17"/>
    </row>
    <row r="37" spans="1:7" ht="36.75" thickBot="1" x14ac:dyDescent="0.3">
      <c r="B37" s="29" t="s">
        <v>1171</v>
      </c>
      <c r="C37" s="17" t="s">
        <v>1012</v>
      </c>
      <c r="D37" s="25" t="s">
        <v>1027</v>
      </c>
      <c r="E37" s="26">
        <v>45078</v>
      </c>
      <c r="F37" s="25" t="s">
        <v>1172</v>
      </c>
      <c r="G37" s="17"/>
    </row>
    <row r="38" spans="1:7" ht="24.75" thickBot="1" x14ac:dyDescent="0.3">
      <c r="B38" s="29" t="s">
        <v>1173</v>
      </c>
      <c r="C38" s="16" t="s">
        <v>1016</v>
      </c>
      <c r="D38" s="25" t="s">
        <v>1075</v>
      </c>
      <c r="E38" s="26">
        <v>45078</v>
      </c>
      <c r="F38" s="25" t="s">
        <v>1174</v>
      </c>
      <c r="G38" s="17"/>
    </row>
    <row r="39" spans="1:7" ht="24.75" thickBot="1" x14ac:dyDescent="0.3">
      <c r="B39" s="29" t="s">
        <v>1175</v>
      </c>
      <c r="C39" s="16" t="s">
        <v>1016</v>
      </c>
      <c r="D39" s="25" t="s">
        <v>1017</v>
      </c>
      <c r="E39" s="26">
        <v>45200</v>
      </c>
      <c r="F39" s="25" t="s">
        <v>1133</v>
      </c>
      <c r="G39" s="17"/>
    </row>
    <row r="40" spans="1:7" ht="15.75" thickBot="1" x14ac:dyDescent="0.3">
      <c r="B40" s="29" t="s">
        <v>1176</v>
      </c>
      <c r="C40" s="16" t="s">
        <v>1016</v>
      </c>
      <c r="D40" s="25" t="s">
        <v>1017</v>
      </c>
      <c r="E40" s="26">
        <v>45200</v>
      </c>
      <c r="F40" s="25" t="s">
        <v>1023</v>
      </c>
      <c r="G40" s="17"/>
    </row>
    <row r="41" spans="1:7" ht="48.75" thickBot="1" x14ac:dyDescent="0.3">
      <c r="B41" s="29" t="s">
        <v>1177</v>
      </c>
      <c r="C41" s="16" t="s">
        <v>1012</v>
      </c>
      <c r="D41" s="25" t="s">
        <v>1013</v>
      </c>
      <c r="E41" s="26">
        <v>45292</v>
      </c>
      <c r="F41" s="25" t="s">
        <v>1028</v>
      </c>
      <c r="G41" s="17"/>
    </row>
    <row r="42" spans="1:7" ht="48.75" thickBot="1" x14ac:dyDescent="0.3">
      <c r="B42" s="29" t="s">
        <v>1178</v>
      </c>
      <c r="C42" s="16" t="s">
        <v>1012</v>
      </c>
      <c r="D42" s="25" t="s">
        <v>1013</v>
      </c>
      <c r="E42" s="26">
        <v>45292</v>
      </c>
      <c r="F42" s="25" t="s">
        <v>1131</v>
      </c>
      <c r="G42" s="17"/>
    </row>
    <row r="43" spans="1:7" ht="48.75" thickBot="1" x14ac:dyDescent="0.3">
      <c r="B43" s="29" t="s">
        <v>1179</v>
      </c>
      <c r="C43" s="16" t="s">
        <v>1012</v>
      </c>
      <c r="D43" s="25" t="s">
        <v>1013</v>
      </c>
      <c r="E43" s="26">
        <v>45292</v>
      </c>
      <c r="F43" s="25" t="s">
        <v>1131</v>
      </c>
      <c r="G43" s="17"/>
    </row>
    <row r="44" spans="1:7" ht="48.75" thickBot="1" x14ac:dyDescent="0.3">
      <c r="B44" s="29" t="s">
        <v>1180</v>
      </c>
      <c r="C44" s="16" t="s">
        <v>1016</v>
      </c>
      <c r="D44" s="25" t="s">
        <v>1031</v>
      </c>
      <c r="E44" s="26">
        <v>45323</v>
      </c>
      <c r="F44" s="25" t="s">
        <v>1181</v>
      </c>
      <c r="G44" s="17" t="s">
        <v>1182</v>
      </c>
    </row>
    <row r="45" spans="1:7" ht="36.75" thickBot="1" x14ac:dyDescent="0.3">
      <c r="B45" s="29" t="s">
        <v>1183</v>
      </c>
      <c r="C45" s="16" t="s">
        <v>1016</v>
      </c>
      <c r="D45" s="25" t="s">
        <v>1017</v>
      </c>
      <c r="E45" s="26">
        <v>45383</v>
      </c>
      <c r="F45" s="25" t="s">
        <v>1023</v>
      </c>
      <c r="G45" s="17"/>
    </row>
    <row r="46" spans="1:7" ht="48.75" thickBot="1" x14ac:dyDescent="0.3">
      <c r="B46" s="29" t="s">
        <v>1184</v>
      </c>
      <c r="C46" s="16" t="s">
        <v>1012</v>
      </c>
      <c r="D46" s="25" t="s">
        <v>1085</v>
      </c>
      <c r="E46" s="26">
        <v>45383</v>
      </c>
      <c r="F46" s="25" t="s">
        <v>1086</v>
      </c>
      <c r="G46" s="17" t="s">
        <v>1185</v>
      </c>
    </row>
    <row r="47" spans="1:7" ht="48.75" thickBot="1" x14ac:dyDescent="0.3">
      <c r="B47" s="29" t="s">
        <v>1186</v>
      </c>
      <c r="C47" s="16" t="s">
        <v>1012</v>
      </c>
      <c r="D47" s="25" t="s">
        <v>1085</v>
      </c>
      <c r="E47" s="26">
        <v>45383</v>
      </c>
      <c r="F47" s="25" t="s">
        <v>1086</v>
      </c>
      <c r="G47" s="17" t="s">
        <v>1185</v>
      </c>
    </row>
    <row r="48" spans="1:7" ht="48.75" thickBot="1" x14ac:dyDescent="0.3">
      <c r="A48" s="13"/>
      <c r="B48" s="29" t="s">
        <v>1187</v>
      </c>
      <c r="C48" s="16" t="s">
        <v>1012</v>
      </c>
      <c r="D48" s="25" t="s">
        <v>1085</v>
      </c>
      <c r="E48" s="26">
        <v>45383</v>
      </c>
      <c r="F48" s="25" t="s">
        <v>1086</v>
      </c>
      <c r="G48" s="17" t="s">
        <v>1185</v>
      </c>
    </row>
    <row r="49" spans="2:7" ht="48.75" thickBot="1" x14ac:dyDescent="0.3">
      <c r="B49" s="29" t="s">
        <v>1188</v>
      </c>
      <c r="C49" s="16" t="s">
        <v>1030</v>
      </c>
      <c r="D49" s="25" t="s">
        <v>1031</v>
      </c>
      <c r="E49" s="26">
        <v>45444</v>
      </c>
      <c r="F49" s="25" t="s">
        <v>1131</v>
      </c>
      <c r="G49" s="17"/>
    </row>
    <row r="50" spans="2:7" ht="48.75" thickBot="1" x14ac:dyDescent="0.3">
      <c r="B50" s="29" t="s">
        <v>1189</v>
      </c>
      <c r="C50" s="16" t="s">
        <v>1012</v>
      </c>
      <c r="D50" s="25" t="s">
        <v>1031</v>
      </c>
      <c r="E50" s="26">
        <v>45444</v>
      </c>
      <c r="F50" s="25" t="s">
        <v>1131</v>
      </c>
      <c r="G50" s="17"/>
    </row>
    <row r="51" spans="2:7" ht="36.75" thickBot="1" x14ac:dyDescent="0.3">
      <c r="B51" s="29" t="s">
        <v>1190</v>
      </c>
      <c r="C51" s="16" t="s">
        <v>1030</v>
      </c>
      <c r="D51" s="25" t="s">
        <v>1031</v>
      </c>
      <c r="E51" s="26">
        <v>45444</v>
      </c>
      <c r="F51" s="25" t="s">
        <v>1014</v>
      </c>
      <c r="G51" s="17"/>
    </row>
    <row r="52" spans="2:7" ht="36.75" thickBot="1" x14ac:dyDescent="0.3">
      <c r="B52" s="29" t="s">
        <v>1191</v>
      </c>
      <c r="C52" s="16" t="s">
        <v>1030</v>
      </c>
      <c r="D52" s="25" t="s">
        <v>1031</v>
      </c>
      <c r="E52" s="26">
        <v>45444</v>
      </c>
      <c r="F52" s="25" t="s">
        <v>1014</v>
      </c>
      <c r="G52" s="17"/>
    </row>
    <row r="53" spans="2:7" ht="48.75" thickBot="1" x14ac:dyDescent="0.3">
      <c r="B53" s="29" t="s">
        <v>1192</v>
      </c>
      <c r="C53" s="16" t="s">
        <v>1030</v>
      </c>
      <c r="D53" s="25" t="s">
        <v>1031</v>
      </c>
      <c r="E53" s="26">
        <v>45444</v>
      </c>
      <c r="F53" s="25" t="s">
        <v>1181</v>
      </c>
      <c r="G53" s="17" t="s">
        <v>1182</v>
      </c>
    </row>
    <row r="54" spans="2:7" ht="48.75" thickBot="1" x14ac:dyDescent="0.3">
      <c r="B54" s="29" t="s">
        <v>1193</v>
      </c>
      <c r="C54" s="16" t="s">
        <v>1012</v>
      </c>
      <c r="D54" s="25" t="s">
        <v>1031</v>
      </c>
      <c r="E54" s="26">
        <v>45444</v>
      </c>
      <c r="F54" s="25" t="s">
        <v>1131</v>
      </c>
      <c r="G54" s="17"/>
    </row>
    <row r="55" spans="2:7" ht="48.75" thickBot="1" x14ac:dyDescent="0.3">
      <c r="B55" s="29" t="s">
        <v>1194</v>
      </c>
      <c r="C55" s="16" t="s">
        <v>1012</v>
      </c>
      <c r="D55" s="25" t="s">
        <v>1031</v>
      </c>
      <c r="E55" s="26">
        <v>45444</v>
      </c>
      <c r="F55" s="25" t="s">
        <v>1131</v>
      </c>
      <c r="G55" s="17"/>
    </row>
    <row r="56" spans="2:7" ht="48.75" thickBot="1" x14ac:dyDescent="0.3">
      <c r="B56" s="29" t="s">
        <v>1195</v>
      </c>
      <c r="C56" s="16" t="s">
        <v>1030</v>
      </c>
      <c r="D56" s="25" t="s">
        <v>1031</v>
      </c>
      <c r="E56" s="26">
        <v>45444</v>
      </c>
      <c r="F56" s="25" t="s">
        <v>1131</v>
      </c>
      <c r="G56" s="17"/>
    </row>
    <row r="57" spans="2:7" ht="72.75" thickBot="1" x14ac:dyDescent="0.3">
      <c r="B57" s="29" t="s">
        <v>1196</v>
      </c>
      <c r="C57" s="16" t="s">
        <v>1049</v>
      </c>
      <c r="D57" s="25" t="s">
        <v>1197</v>
      </c>
      <c r="E57" s="26">
        <v>45717</v>
      </c>
      <c r="F57" s="25" t="s">
        <v>1198</v>
      </c>
      <c r="G57" s="17"/>
    </row>
    <row r="58" spans="2:7" ht="24.75" thickBot="1" x14ac:dyDescent="0.3">
      <c r="B58" s="29" t="s">
        <v>1199</v>
      </c>
      <c r="C58" s="16" t="s">
        <v>1049</v>
      </c>
      <c r="D58" s="25" t="s">
        <v>1197</v>
      </c>
      <c r="E58" s="26">
        <v>45717</v>
      </c>
      <c r="F58" s="25" t="s">
        <v>1058</v>
      </c>
      <c r="G58" s="17"/>
    </row>
    <row r="59" spans="2:7" ht="60.75" thickBot="1" x14ac:dyDescent="0.3">
      <c r="B59" s="29" t="s">
        <v>1200</v>
      </c>
      <c r="C59" s="16" t="s">
        <v>1049</v>
      </c>
      <c r="D59" s="25" t="s">
        <v>1197</v>
      </c>
      <c r="E59" s="26">
        <v>45717</v>
      </c>
      <c r="F59" s="25" t="s">
        <v>1058</v>
      </c>
      <c r="G59" s="17"/>
    </row>
    <row r="60" spans="2:7" ht="24.75" thickBot="1" x14ac:dyDescent="0.3">
      <c r="B60" s="29" t="s">
        <v>1201</v>
      </c>
      <c r="C60" s="16" t="s">
        <v>1030</v>
      </c>
      <c r="D60" s="25" t="s">
        <v>1197</v>
      </c>
      <c r="E60" s="26">
        <v>45717</v>
      </c>
      <c r="F60" s="25" t="s">
        <v>1058</v>
      </c>
      <c r="G60" s="17"/>
    </row>
    <row r="61" spans="2:7" ht="24.75" thickBot="1" x14ac:dyDescent="0.3">
      <c r="B61" s="29" t="s">
        <v>1202</v>
      </c>
      <c r="C61" s="16" t="s">
        <v>1030</v>
      </c>
      <c r="D61" s="25" t="s">
        <v>1197</v>
      </c>
      <c r="E61" s="26">
        <v>45717</v>
      </c>
      <c r="F61" s="25" t="s">
        <v>1058</v>
      </c>
      <c r="G61" s="17"/>
    </row>
    <row r="62" spans="2:7" ht="24.75" thickBot="1" x14ac:dyDescent="0.3">
      <c r="B62" s="29" t="s">
        <v>1203</v>
      </c>
      <c r="C62" s="16" t="s">
        <v>1049</v>
      </c>
      <c r="D62" s="25" t="s">
        <v>1197</v>
      </c>
      <c r="E62" s="26">
        <v>45717</v>
      </c>
      <c r="F62" s="25" t="s">
        <v>1058</v>
      </c>
      <c r="G62" s="17"/>
    </row>
    <row r="63" spans="2:7" ht="36.75" thickBot="1" x14ac:dyDescent="0.3">
      <c r="B63" s="29" t="s">
        <v>1204</v>
      </c>
      <c r="C63" s="16" t="s">
        <v>1049</v>
      </c>
      <c r="D63" s="25" t="s">
        <v>1197</v>
      </c>
      <c r="E63" s="26">
        <v>45717</v>
      </c>
      <c r="F63" s="25" t="s">
        <v>1058</v>
      </c>
      <c r="G63" s="17"/>
    </row>
    <row r="64" spans="2:7" ht="24.75" thickBot="1" x14ac:dyDescent="0.3">
      <c r="B64" s="29" t="s">
        <v>1205</v>
      </c>
      <c r="C64" s="16" t="s">
        <v>1030</v>
      </c>
      <c r="D64" s="25" t="s">
        <v>1197</v>
      </c>
      <c r="E64" s="26">
        <v>45717</v>
      </c>
      <c r="F64" s="25" t="s">
        <v>1206</v>
      </c>
      <c r="G64" s="17"/>
    </row>
    <row r="65" spans="2:7" ht="24.75" thickBot="1" x14ac:dyDescent="0.3">
      <c r="B65" s="29" t="s">
        <v>1207</v>
      </c>
      <c r="C65" s="16" t="s">
        <v>1049</v>
      </c>
      <c r="D65" s="25" t="s">
        <v>1197</v>
      </c>
      <c r="E65" s="26">
        <v>45717</v>
      </c>
      <c r="F65" s="25" t="s">
        <v>1206</v>
      </c>
      <c r="G65" s="17"/>
    </row>
    <row r="66" spans="2:7" ht="24.75" thickBot="1" x14ac:dyDescent="0.3">
      <c r="B66" s="29" t="s">
        <v>1208</v>
      </c>
      <c r="C66" s="16" t="s">
        <v>1030</v>
      </c>
      <c r="D66" s="25" t="s">
        <v>1197</v>
      </c>
      <c r="E66" s="26">
        <v>45717</v>
      </c>
      <c r="F66" s="25" t="s">
        <v>1058</v>
      </c>
      <c r="G66" s="17"/>
    </row>
    <row r="67" spans="2:7" ht="48.75" thickBot="1" x14ac:dyDescent="0.3">
      <c r="B67" s="29" t="s">
        <v>1209</v>
      </c>
      <c r="C67" s="16" t="s">
        <v>1030</v>
      </c>
      <c r="D67" s="25" t="s">
        <v>1085</v>
      </c>
      <c r="E67" s="26">
        <v>45748</v>
      </c>
      <c r="F67" s="25" t="s">
        <v>1086</v>
      </c>
      <c r="G67" s="17" t="s">
        <v>1185</v>
      </c>
    </row>
    <row r="68" spans="2:7" ht="36.75" thickBot="1" x14ac:dyDescent="0.3">
      <c r="B68" s="29" t="s">
        <v>1210</v>
      </c>
      <c r="C68" s="16" t="s">
        <v>1049</v>
      </c>
      <c r="D68" s="25" t="s">
        <v>985</v>
      </c>
      <c r="E68" s="26">
        <v>45992</v>
      </c>
      <c r="F68" s="25" t="s">
        <v>1211</v>
      </c>
      <c r="G68" s="17"/>
    </row>
    <row r="69" spans="2:7" ht="60.75" thickBot="1" x14ac:dyDescent="0.3">
      <c r="B69" s="29" t="s">
        <v>1212</v>
      </c>
      <c r="C69" s="16" t="s">
        <v>1049</v>
      </c>
      <c r="D69" s="25" t="s">
        <v>985</v>
      </c>
      <c r="E69" s="26">
        <v>45992</v>
      </c>
      <c r="F69" s="25" t="s">
        <v>1213</v>
      </c>
      <c r="G69" s="17"/>
    </row>
    <row r="70" spans="2:7" ht="48.75" thickBot="1" x14ac:dyDescent="0.3">
      <c r="B70" s="29" t="s">
        <v>1214</v>
      </c>
      <c r="C70" s="16" t="s">
        <v>1049</v>
      </c>
      <c r="D70" s="25" t="s">
        <v>985</v>
      </c>
      <c r="E70" s="26">
        <v>46174</v>
      </c>
      <c r="F70" s="25" t="s">
        <v>1211</v>
      </c>
      <c r="G70" s="17"/>
    </row>
    <row r="71" spans="2:7" ht="24.75" thickBot="1" x14ac:dyDescent="0.3">
      <c r="B71" s="29" t="s">
        <v>1215</v>
      </c>
      <c r="C71" s="16" t="s">
        <v>1049</v>
      </c>
      <c r="D71" s="25" t="s">
        <v>985</v>
      </c>
      <c r="E71" s="26">
        <v>46174</v>
      </c>
      <c r="F71" s="25" t="s">
        <v>901</v>
      </c>
      <c r="G71" s="17"/>
    </row>
    <row r="72" spans="2:7" ht="36.75" thickBot="1" x14ac:dyDescent="0.3">
      <c r="B72" s="29" t="s">
        <v>1216</v>
      </c>
      <c r="C72" s="16" t="s">
        <v>1064</v>
      </c>
      <c r="D72" s="25" t="s">
        <v>1065</v>
      </c>
      <c r="E72" s="26">
        <v>46327</v>
      </c>
      <c r="F72" s="25" t="s">
        <v>1217</v>
      </c>
      <c r="G72" s="17"/>
    </row>
    <row r="73" spans="2:7" ht="48.75" thickBot="1" x14ac:dyDescent="0.3">
      <c r="B73" s="29" t="s">
        <v>1218</v>
      </c>
      <c r="C73" s="16" t="s">
        <v>1064</v>
      </c>
      <c r="D73" s="25" t="s">
        <v>1065</v>
      </c>
      <c r="E73" s="26">
        <v>46327</v>
      </c>
      <c r="F73" s="25" t="s">
        <v>1219</v>
      </c>
      <c r="G73" s="17"/>
    </row>
    <row r="74" spans="2:7" ht="36.75" thickBot="1" x14ac:dyDescent="0.3">
      <c r="B74" s="29" t="s">
        <v>1220</v>
      </c>
      <c r="C74" s="16" t="s">
        <v>1064</v>
      </c>
      <c r="D74" s="25" t="s">
        <v>1065</v>
      </c>
      <c r="E74" s="26">
        <v>46327</v>
      </c>
      <c r="F74" s="25" t="s">
        <v>1221</v>
      </c>
      <c r="G74" s="17"/>
    </row>
    <row r="75" spans="2:7" ht="36.75" thickBot="1" x14ac:dyDescent="0.3">
      <c r="B75" s="29" t="s">
        <v>1222</v>
      </c>
      <c r="C75" s="16" t="s">
        <v>1049</v>
      </c>
      <c r="D75" s="25" t="s">
        <v>1065</v>
      </c>
      <c r="E75" s="26">
        <v>46327</v>
      </c>
      <c r="F75" s="25" t="s">
        <v>1221</v>
      </c>
      <c r="G75" s="17"/>
    </row>
    <row r="76" spans="2:7" ht="48.75" thickBot="1" x14ac:dyDescent="0.3">
      <c r="B76" s="29" t="s">
        <v>1223</v>
      </c>
      <c r="C76" s="16" t="s">
        <v>1064</v>
      </c>
      <c r="D76" s="25" t="s">
        <v>1065</v>
      </c>
      <c r="E76" s="26">
        <v>46327</v>
      </c>
      <c r="F76" s="25" t="s">
        <v>1221</v>
      </c>
      <c r="G76" s="17"/>
    </row>
    <row r="77" spans="2:7" ht="60.75" thickBot="1" x14ac:dyDescent="0.3">
      <c r="B77" s="29" t="s">
        <v>1224</v>
      </c>
      <c r="C77" s="16" t="s">
        <v>1064</v>
      </c>
      <c r="D77" s="25" t="s">
        <v>1065</v>
      </c>
      <c r="E77" s="26">
        <v>46327</v>
      </c>
      <c r="F77" s="25" t="s">
        <v>1221</v>
      </c>
      <c r="G77" s="17"/>
    </row>
    <row r="78" spans="2:7" ht="36.75" thickBot="1" x14ac:dyDescent="0.3">
      <c r="B78" s="29" t="s">
        <v>1225</v>
      </c>
      <c r="C78" s="16" t="s">
        <v>1049</v>
      </c>
      <c r="D78" s="25" t="s">
        <v>1065</v>
      </c>
      <c r="E78" s="26">
        <v>46327</v>
      </c>
      <c r="F78" s="25" t="s">
        <v>1221</v>
      </c>
      <c r="G78" s="17"/>
    </row>
    <row r="79" spans="2:7" ht="48.75" thickBot="1" x14ac:dyDescent="0.3">
      <c r="B79" s="29" t="s">
        <v>1226</v>
      </c>
      <c r="C79" s="16" t="s">
        <v>1064</v>
      </c>
      <c r="D79" s="25" t="s">
        <v>1065</v>
      </c>
      <c r="E79" s="26">
        <v>46143</v>
      </c>
      <c r="F79" s="25" t="s">
        <v>1227</v>
      </c>
      <c r="G79" s="17"/>
    </row>
    <row r="80" spans="2:7" ht="36.75" thickBot="1" x14ac:dyDescent="0.3">
      <c r="B80" s="29" t="s">
        <v>1228</v>
      </c>
      <c r="C80" s="16" t="s">
        <v>1064</v>
      </c>
      <c r="D80" s="25" t="s">
        <v>1002</v>
      </c>
      <c r="E80" s="26">
        <v>46935</v>
      </c>
      <c r="F80" s="25" t="s">
        <v>1221</v>
      </c>
      <c r="G80" s="17"/>
    </row>
    <row r="81" spans="2:7" ht="48.75" thickBot="1" x14ac:dyDescent="0.3">
      <c r="B81" s="29" t="s">
        <v>1229</v>
      </c>
      <c r="C81" s="16" t="s">
        <v>1064</v>
      </c>
      <c r="D81" s="25" t="s">
        <v>1002</v>
      </c>
      <c r="E81" s="26">
        <v>47119</v>
      </c>
      <c r="F81" s="25" t="s">
        <v>1095</v>
      </c>
      <c r="G81" s="31" t="s">
        <v>1107</v>
      </c>
    </row>
    <row r="82" spans="2:7" ht="96.75" thickBot="1" x14ac:dyDescent="0.3">
      <c r="B82" s="29" t="s">
        <v>1230</v>
      </c>
      <c r="C82" s="16" t="s">
        <v>1064</v>
      </c>
      <c r="D82" s="25" t="s">
        <v>1002</v>
      </c>
      <c r="E82" s="26">
        <v>47119</v>
      </c>
      <c r="F82" s="25" t="s">
        <v>1231</v>
      </c>
      <c r="G82" s="31" t="s">
        <v>1107</v>
      </c>
    </row>
    <row r="83" spans="2:7" ht="60.75" thickBot="1" x14ac:dyDescent="0.3">
      <c r="B83" s="29" t="s">
        <v>1232</v>
      </c>
      <c r="C83" s="16" t="s">
        <v>1064</v>
      </c>
      <c r="D83" s="25" t="s">
        <v>1002</v>
      </c>
      <c r="E83" s="26">
        <v>47119</v>
      </c>
      <c r="F83" s="25" t="s">
        <v>1233</v>
      </c>
      <c r="G83" s="17"/>
    </row>
    <row r="84" spans="2:7" ht="24.75" thickBot="1" x14ac:dyDescent="0.3">
      <c r="B84" s="29" t="s">
        <v>1234</v>
      </c>
      <c r="C84" s="16" t="s">
        <v>1064</v>
      </c>
      <c r="D84" s="25" t="s">
        <v>1002</v>
      </c>
      <c r="E84" s="26">
        <v>47119</v>
      </c>
      <c r="F84" s="25" t="s">
        <v>1028</v>
      </c>
      <c r="G84" s="17"/>
    </row>
    <row r="85" spans="2:7" ht="60.75" thickBot="1" x14ac:dyDescent="0.3">
      <c r="B85" s="29" t="s">
        <v>1235</v>
      </c>
      <c r="C85" s="16" t="s">
        <v>1064</v>
      </c>
      <c r="D85" s="25" t="s">
        <v>1002</v>
      </c>
      <c r="E85" s="26">
        <v>10959</v>
      </c>
      <c r="F85" s="25" t="s">
        <v>1095</v>
      </c>
      <c r="G85" s="31" t="s">
        <v>1107</v>
      </c>
    </row>
    <row r="86" spans="2:7" ht="36.75" thickBot="1" x14ac:dyDescent="0.3">
      <c r="B86" s="29" t="s">
        <v>1236</v>
      </c>
      <c r="C86" s="16" t="s">
        <v>1064</v>
      </c>
      <c r="D86" s="25" t="s">
        <v>1002</v>
      </c>
      <c r="E86" s="26">
        <v>47119</v>
      </c>
      <c r="F86" s="25" t="s">
        <v>1221</v>
      </c>
      <c r="G86" s="17"/>
    </row>
    <row r="87" spans="2:7" ht="60.75" thickBot="1" x14ac:dyDescent="0.3">
      <c r="B87" s="29" t="s">
        <v>1237</v>
      </c>
      <c r="C87" s="16" t="s">
        <v>1064</v>
      </c>
      <c r="D87" s="25" t="s">
        <v>1002</v>
      </c>
      <c r="E87" s="26">
        <v>47119</v>
      </c>
      <c r="F87" s="25" t="s">
        <v>1028</v>
      </c>
      <c r="G87" s="17"/>
    </row>
    <row r="88" spans="2:7" ht="72.75" thickBot="1" x14ac:dyDescent="0.3">
      <c r="B88" s="29" t="s">
        <v>1238</v>
      </c>
      <c r="C88" s="16" t="s">
        <v>1049</v>
      </c>
      <c r="D88" s="25" t="s">
        <v>1002</v>
      </c>
      <c r="E88" s="26">
        <v>46753</v>
      </c>
      <c r="F88" s="25" t="s">
        <v>1239</v>
      </c>
      <c r="G88" s="17"/>
    </row>
    <row r="89" spans="2:7" ht="60.75" thickBot="1" x14ac:dyDescent="0.3">
      <c r="B89" s="29" t="s">
        <v>1240</v>
      </c>
      <c r="C89" s="16" t="s">
        <v>1049</v>
      </c>
      <c r="D89" s="25" t="s">
        <v>1002</v>
      </c>
      <c r="E89" s="26">
        <v>46753</v>
      </c>
      <c r="F89" s="25" t="s">
        <v>1239</v>
      </c>
      <c r="G89" s="17"/>
    </row>
    <row r="90" spans="2:7" x14ac:dyDescent="0.25"/>
    <row r="91" spans="2:7" x14ac:dyDescent="0.25"/>
    <row r="92" spans="2:7" x14ac:dyDescent="0.25"/>
  </sheetData>
  <autoFilter ref="B3:G89" xr:uid="{00000000-0001-0000-0800-000000000000}"/>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5" tint="0.59999389629810485"/>
  </sheetPr>
  <dimension ref="A1:H16"/>
  <sheetViews>
    <sheetView zoomScaleNormal="100" workbookViewId="0">
      <selection activeCell="B61" sqref="B61"/>
    </sheetView>
  </sheetViews>
  <sheetFormatPr baseColWidth="10" defaultColWidth="0" defaultRowHeight="15" zeroHeight="1" x14ac:dyDescent="0.25"/>
  <cols>
    <col min="1" max="1" width="11.42578125" style="3" customWidth="1"/>
    <col min="2" max="2" width="24.140625" style="3" customWidth="1"/>
    <col min="3" max="5" width="11.42578125" style="3" customWidth="1"/>
    <col min="6" max="6" width="18.140625" style="3" customWidth="1"/>
    <col min="7" max="8" width="11.42578125" style="3" customWidth="1"/>
    <col min="9" max="16384" width="11.42578125" style="3" hidden="1"/>
  </cols>
  <sheetData>
    <row r="1" spans="1:6" x14ac:dyDescent="0.25">
      <c r="A1" s="129" t="s">
        <v>12</v>
      </c>
      <c r="B1" s="129"/>
      <c r="C1" s="129"/>
      <c r="D1" s="129"/>
      <c r="E1" s="129"/>
      <c r="F1" s="129"/>
    </row>
    <row r="2" spans="1:6" x14ac:dyDescent="0.25">
      <c r="A2" s="129"/>
      <c r="B2" s="129"/>
      <c r="C2" s="129"/>
      <c r="D2" s="129"/>
      <c r="E2" s="129"/>
      <c r="F2" s="129"/>
    </row>
    <row r="3" spans="1:6" ht="15.75" thickBot="1" x14ac:dyDescent="0.3"/>
    <row r="4" spans="1:6" ht="72.75" thickBot="1" x14ac:dyDescent="0.3">
      <c r="B4" s="6" t="s">
        <v>16</v>
      </c>
      <c r="C4" s="7" t="s">
        <v>1241</v>
      </c>
      <c r="D4" s="7" t="s">
        <v>1242</v>
      </c>
      <c r="E4" s="7" t="s">
        <v>978</v>
      </c>
      <c r="F4" s="7" t="s">
        <v>26</v>
      </c>
    </row>
    <row r="5" spans="1:6" ht="36.75" thickBot="1" x14ac:dyDescent="0.3">
      <c r="B5" s="27" t="s">
        <v>1243</v>
      </c>
      <c r="C5" s="17" t="s">
        <v>1244</v>
      </c>
      <c r="D5" s="14">
        <v>44378</v>
      </c>
      <c r="E5" s="17" t="s">
        <v>1023</v>
      </c>
      <c r="F5" s="28"/>
    </row>
    <row r="6" spans="1:6" ht="24.75" thickBot="1" x14ac:dyDescent="0.3">
      <c r="B6" s="27" t="s">
        <v>1245</v>
      </c>
      <c r="C6" s="17" t="s">
        <v>1244</v>
      </c>
      <c r="D6" s="14">
        <v>44501</v>
      </c>
      <c r="E6" s="17" t="s">
        <v>1140</v>
      </c>
      <c r="F6" s="28"/>
    </row>
    <row r="7" spans="1:6" ht="36.75" thickBot="1" x14ac:dyDescent="0.3">
      <c r="B7" s="27" t="s">
        <v>1246</v>
      </c>
      <c r="C7" s="17" t="s">
        <v>1244</v>
      </c>
      <c r="D7" s="14">
        <v>44743</v>
      </c>
      <c r="E7" s="17" t="s">
        <v>1154</v>
      </c>
      <c r="F7" s="28"/>
    </row>
    <row r="8" spans="1:6" ht="60.75" thickBot="1" x14ac:dyDescent="0.3">
      <c r="B8" s="27" t="s">
        <v>1247</v>
      </c>
      <c r="C8" s="17" t="s">
        <v>1244</v>
      </c>
      <c r="D8" s="14">
        <v>44743</v>
      </c>
      <c r="E8" s="17" t="s">
        <v>1248</v>
      </c>
      <c r="F8" s="28"/>
    </row>
    <row r="9" spans="1:6" ht="60.75" thickBot="1" x14ac:dyDescent="0.3">
      <c r="B9" s="27" t="s">
        <v>1249</v>
      </c>
      <c r="C9" s="17" t="s">
        <v>1244</v>
      </c>
      <c r="D9" s="14">
        <v>44743</v>
      </c>
      <c r="E9" s="17" t="s">
        <v>1028</v>
      </c>
      <c r="F9" s="28"/>
    </row>
    <row r="10" spans="1:6" ht="24.75" thickBot="1" x14ac:dyDescent="0.3">
      <c r="B10" s="27" t="s">
        <v>1137</v>
      </c>
      <c r="C10" s="17" t="s">
        <v>1138</v>
      </c>
      <c r="D10" s="14">
        <v>44835</v>
      </c>
      <c r="E10" s="17" t="s">
        <v>1133</v>
      </c>
      <c r="F10" s="28"/>
    </row>
    <row r="11" spans="1:6" ht="24.75" thickBot="1" x14ac:dyDescent="0.3">
      <c r="B11" s="27" t="s">
        <v>1250</v>
      </c>
      <c r="C11" s="17" t="s">
        <v>1138</v>
      </c>
      <c r="D11" s="14">
        <v>44835</v>
      </c>
      <c r="E11" s="17" t="s">
        <v>1133</v>
      </c>
      <c r="F11" s="28"/>
    </row>
    <row r="12" spans="1:6" ht="24.75" thickBot="1" x14ac:dyDescent="0.3">
      <c r="B12" s="29" t="s">
        <v>1251</v>
      </c>
      <c r="C12" s="25" t="s">
        <v>1138</v>
      </c>
      <c r="D12" s="14">
        <v>44835</v>
      </c>
      <c r="E12" s="17" t="s">
        <v>1133</v>
      </c>
      <c r="F12" s="28"/>
    </row>
    <row r="13" spans="1:6" ht="24.75" thickBot="1" x14ac:dyDescent="0.3">
      <c r="B13" s="27" t="s">
        <v>1252</v>
      </c>
      <c r="C13" s="25" t="s">
        <v>1138</v>
      </c>
      <c r="D13" s="14">
        <v>45352</v>
      </c>
      <c r="E13" s="17" t="s">
        <v>1028</v>
      </c>
      <c r="F13" s="28"/>
    </row>
    <row r="14" spans="1:6" x14ac:dyDescent="0.25"/>
    <row r="15" spans="1:6" x14ac:dyDescent="0.25"/>
    <row r="16" spans="1:6" x14ac:dyDescent="0.25"/>
  </sheetData>
  <autoFilter ref="B4:F4" xr:uid="{00000000-0001-0000-0A00-000000000000}"/>
  <mergeCells count="1">
    <mergeCell ref="A1:F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5" tint="0.39997558519241921"/>
  </sheetPr>
  <dimension ref="A1:H18"/>
  <sheetViews>
    <sheetView zoomScaleNormal="100" workbookViewId="0">
      <selection activeCell="B61" sqref="B61"/>
    </sheetView>
  </sheetViews>
  <sheetFormatPr baseColWidth="10" defaultColWidth="0" defaultRowHeight="15" zeroHeight="1" x14ac:dyDescent="0.25"/>
  <cols>
    <col min="1" max="1" width="11.42578125" style="3" customWidth="1"/>
    <col min="2" max="2" width="19.140625" style="3" customWidth="1"/>
    <col min="3" max="5" width="11.42578125" style="3" customWidth="1"/>
    <col min="6" max="6" width="31.85546875" style="3" customWidth="1"/>
    <col min="7" max="8" width="11.42578125" style="3" customWidth="1"/>
    <col min="9" max="16384" width="11.42578125" style="3" hidden="1"/>
  </cols>
  <sheetData>
    <row r="1" spans="1:7" ht="15" customHeight="1" x14ac:dyDescent="0.25">
      <c r="A1" s="129" t="s">
        <v>1253</v>
      </c>
      <c r="B1" s="129"/>
      <c r="C1" s="129"/>
      <c r="D1" s="129"/>
      <c r="E1" s="129"/>
      <c r="F1" s="129"/>
      <c r="G1" s="8"/>
    </row>
    <row r="2" spans="1:7" x14ac:dyDescent="0.25">
      <c r="A2" s="129"/>
      <c r="B2" s="129"/>
      <c r="C2" s="129"/>
      <c r="D2" s="129"/>
      <c r="E2" s="129"/>
      <c r="F2" s="129"/>
      <c r="G2" s="8"/>
    </row>
    <row r="3" spans="1:7" ht="15.75" thickBot="1" x14ac:dyDescent="0.3"/>
    <row r="4" spans="1:7" ht="72.75" thickBot="1" x14ac:dyDescent="0.3">
      <c r="B4" s="6" t="s">
        <v>16</v>
      </c>
      <c r="C4" s="7" t="s">
        <v>1254</v>
      </c>
      <c r="D4" s="7" t="s">
        <v>1255</v>
      </c>
      <c r="E4" s="7" t="s">
        <v>978</v>
      </c>
      <c r="F4" s="7" t="s">
        <v>26</v>
      </c>
    </row>
    <row r="5" spans="1:7" ht="36.75" thickBot="1" x14ac:dyDescent="0.3">
      <c r="B5" s="9" t="s">
        <v>1256</v>
      </c>
      <c r="C5" s="11">
        <v>43132</v>
      </c>
      <c r="D5" s="14">
        <v>45383</v>
      </c>
      <c r="E5" s="10" t="s">
        <v>1023</v>
      </c>
      <c r="F5" s="12"/>
    </row>
    <row r="6" spans="1:7" ht="60.75" thickBot="1" x14ac:dyDescent="0.3">
      <c r="B6" s="9" t="s">
        <v>1257</v>
      </c>
      <c r="C6" s="11">
        <v>43435</v>
      </c>
      <c r="D6" s="14" t="s">
        <v>695</v>
      </c>
      <c r="E6" s="10" t="s">
        <v>1258</v>
      </c>
      <c r="F6" s="12"/>
    </row>
    <row r="7" spans="1:7" x14ac:dyDescent="0.25"/>
    <row r="8" spans="1:7" x14ac:dyDescent="0.25">
      <c r="B8" s="130"/>
      <c r="C8" s="130"/>
      <c r="D8" s="130"/>
      <c r="E8" s="130"/>
      <c r="F8" s="130"/>
    </row>
    <row r="9" spans="1:7" x14ac:dyDescent="0.25">
      <c r="B9" s="130"/>
      <c r="C9" s="130"/>
      <c r="D9" s="130"/>
      <c r="E9" s="130"/>
      <c r="F9" s="130"/>
    </row>
    <row r="16" spans="1:7" x14ac:dyDescent="0.25"/>
    <row r="17" spans="2:6" ht="150" hidden="1" x14ac:dyDescent="0.25">
      <c r="B17" s="40" t="s">
        <v>1259</v>
      </c>
      <c r="F17" s="39" t="s">
        <v>1260</v>
      </c>
    </row>
    <row r="18" spans="2:6" ht="150" hidden="1" x14ac:dyDescent="0.25">
      <c r="B18" s="40" t="s">
        <v>1261</v>
      </c>
      <c r="F18" s="39" t="s">
        <v>1260</v>
      </c>
    </row>
  </sheetData>
  <mergeCells count="2">
    <mergeCell ref="A1:F2"/>
    <mergeCell ref="B8:F9"/>
  </mergeCells>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5" tint="0.79998168889431442"/>
  </sheetPr>
  <dimension ref="A1:H23"/>
  <sheetViews>
    <sheetView topLeftCell="A12" zoomScaleNormal="100" workbookViewId="0">
      <selection activeCell="B61" sqref="B61"/>
    </sheetView>
  </sheetViews>
  <sheetFormatPr baseColWidth="10" defaultColWidth="0" defaultRowHeight="15" zeroHeight="1" x14ac:dyDescent="0.25"/>
  <cols>
    <col min="1" max="1" width="11.42578125" style="3" customWidth="1"/>
    <col min="2" max="2" width="16.85546875" style="3" customWidth="1"/>
    <col min="3" max="4" width="11.42578125" style="3" customWidth="1"/>
    <col min="5" max="5" width="15" style="3" customWidth="1"/>
    <col min="6" max="6" width="22.42578125" style="3" customWidth="1"/>
    <col min="7" max="8" width="11.42578125" style="3" customWidth="1"/>
    <col min="9" max="16384" width="11.42578125" style="3" hidden="1"/>
  </cols>
  <sheetData>
    <row r="1" spans="1:6" x14ac:dyDescent="0.25">
      <c r="A1" s="129" t="s">
        <v>1262</v>
      </c>
      <c r="B1" s="129"/>
      <c r="C1" s="129"/>
      <c r="D1" s="129"/>
      <c r="E1" s="129"/>
      <c r="F1" s="129"/>
    </row>
    <row r="2" spans="1:6" x14ac:dyDescent="0.25">
      <c r="A2" s="129"/>
      <c r="B2" s="129"/>
      <c r="C2" s="129"/>
      <c r="D2" s="129"/>
      <c r="E2" s="129"/>
      <c r="F2" s="129"/>
    </row>
    <row r="3" spans="1:6" ht="15.75" thickBot="1" x14ac:dyDescent="0.3"/>
    <row r="4" spans="1:6" ht="72.75" thickBot="1" x14ac:dyDescent="0.3">
      <c r="B4" s="6" t="s">
        <v>16</v>
      </c>
      <c r="C4" s="7" t="s">
        <v>1241</v>
      </c>
      <c r="D4" s="7" t="s">
        <v>1242</v>
      </c>
      <c r="E4" s="7" t="s">
        <v>978</v>
      </c>
      <c r="F4" s="7" t="s">
        <v>26</v>
      </c>
    </row>
    <row r="5" spans="1:6" ht="36.75" thickBot="1" x14ac:dyDescent="0.3">
      <c r="B5" s="19" t="s">
        <v>1263</v>
      </c>
      <c r="C5" s="20" t="s">
        <v>1264</v>
      </c>
      <c r="D5" s="21">
        <v>44774</v>
      </c>
      <c r="E5" s="20" t="s">
        <v>1265</v>
      </c>
      <c r="F5" s="18" t="s">
        <v>1266</v>
      </c>
    </row>
    <row r="6" spans="1:6" ht="36.75" thickBot="1" x14ac:dyDescent="0.3">
      <c r="B6" s="19" t="s">
        <v>1267</v>
      </c>
      <c r="C6" s="20" t="s">
        <v>1264</v>
      </c>
      <c r="D6" s="21">
        <v>45139</v>
      </c>
      <c r="E6" s="20" t="s">
        <v>1227</v>
      </c>
      <c r="F6" s="18"/>
    </row>
    <row r="7" spans="1:6" ht="36.75" thickBot="1" x14ac:dyDescent="0.3">
      <c r="B7" s="19" t="s">
        <v>1268</v>
      </c>
      <c r="C7" s="20" t="s">
        <v>1264</v>
      </c>
      <c r="D7" s="21">
        <v>45139</v>
      </c>
      <c r="E7" s="20" t="s">
        <v>1227</v>
      </c>
      <c r="F7" s="18"/>
    </row>
    <row r="8" spans="1:6" ht="102" thickBot="1" x14ac:dyDescent="0.3">
      <c r="B8" s="19" t="s">
        <v>1269</v>
      </c>
      <c r="C8" s="20" t="s">
        <v>1264</v>
      </c>
      <c r="D8" s="22">
        <v>45352</v>
      </c>
      <c r="E8" s="20" t="s">
        <v>1095</v>
      </c>
      <c r="F8" s="23" t="s">
        <v>1270</v>
      </c>
    </row>
    <row r="9" spans="1:6" ht="60.75" thickBot="1" x14ac:dyDescent="0.3">
      <c r="B9" s="19" t="s">
        <v>1271</v>
      </c>
      <c r="C9" s="20" t="s">
        <v>1264</v>
      </c>
      <c r="D9" s="21">
        <v>45505</v>
      </c>
      <c r="E9" s="20" t="s">
        <v>1227</v>
      </c>
      <c r="F9" s="18"/>
    </row>
    <row r="10" spans="1:6" ht="36.75" thickBot="1" x14ac:dyDescent="0.3">
      <c r="B10" s="19" t="s">
        <v>1272</v>
      </c>
      <c r="C10" s="20" t="s">
        <v>1264</v>
      </c>
      <c r="D10" s="21">
        <v>45505</v>
      </c>
      <c r="E10" s="20" t="s">
        <v>1227</v>
      </c>
      <c r="F10" s="18"/>
    </row>
    <row r="11" spans="1:6" ht="36.75" thickBot="1" x14ac:dyDescent="0.3">
      <c r="B11" s="19" t="s">
        <v>1273</v>
      </c>
      <c r="C11" s="20" t="s">
        <v>1264</v>
      </c>
      <c r="D11" s="21">
        <v>45505</v>
      </c>
      <c r="E11" s="20" t="s">
        <v>1227</v>
      </c>
      <c r="F11" s="18"/>
    </row>
    <row r="12" spans="1:6" ht="36.75" thickBot="1" x14ac:dyDescent="0.3">
      <c r="B12" s="19" t="s">
        <v>1274</v>
      </c>
      <c r="C12" s="20" t="s">
        <v>1264</v>
      </c>
      <c r="D12" s="21">
        <v>45505</v>
      </c>
      <c r="E12" s="20" t="s">
        <v>1227</v>
      </c>
      <c r="F12" s="18"/>
    </row>
    <row r="13" spans="1:6" ht="36.75" thickBot="1" x14ac:dyDescent="0.3">
      <c r="B13" s="19" t="s">
        <v>1275</v>
      </c>
      <c r="C13" s="20" t="s">
        <v>1264</v>
      </c>
      <c r="D13" s="21">
        <v>45505</v>
      </c>
      <c r="E13" s="20" t="s">
        <v>1227</v>
      </c>
      <c r="F13" s="18"/>
    </row>
    <row r="14" spans="1:6" ht="36.75" thickBot="1" x14ac:dyDescent="0.3">
      <c r="B14" s="19" t="s">
        <v>1276</v>
      </c>
      <c r="C14" s="20" t="s">
        <v>1264</v>
      </c>
      <c r="D14" s="21">
        <v>45505</v>
      </c>
      <c r="E14" s="20" t="s">
        <v>1227</v>
      </c>
      <c r="F14" s="18"/>
    </row>
    <row r="15" spans="1:6" ht="36.75" thickBot="1" x14ac:dyDescent="0.3">
      <c r="B15" s="19" t="s">
        <v>1277</v>
      </c>
      <c r="C15" s="20" t="s">
        <v>1264</v>
      </c>
      <c r="D15" s="21">
        <v>45505</v>
      </c>
      <c r="E15" s="20" t="s">
        <v>1227</v>
      </c>
      <c r="F15" s="18"/>
    </row>
    <row r="16" spans="1:6" ht="36.75" thickBot="1" x14ac:dyDescent="0.3">
      <c r="B16" s="19" t="s">
        <v>1278</v>
      </c>
      <c r="C16" s="20" t="s">
        <v>1264</v>
      </c>
      <c r="D16" s="21">
        <v>45505</v>
      </c>
      <c r="E16" s="20" t="s">
        <v>1227</v>
      </c>
      <c r="F16" s="18"/>
    </row>
    <row r="17" spans="2:6" ht="124.5" thickBot="1" x14ac:dyDescent="0.3">
      <c r="B17" s="19" t="s">
        <v>1259</v>
      </c>
      <c r="C17" s="20" t="s">
        <v>1264</v>
      </c>
      <c r="D17" s="21">
        <v>45689</v>
      </c>
      <c r="E17" s="20" t="s">
        <v>1265</v>
      </c>
      <c r="F17" s="23" t="s">
        <v>1260</v>
      </c>
    </row>
    <row r="18" spans="2:6" ht="124.5" thickBot="1" x14ac:dyDescent="0.3">
      <c r="B18" s="19" t="s">
        <v>1261</v>
      </c>
      <c r="C18" s="20" t="s">
        <v>1264</v>
      </c>
      <c r="D18" s="21">
        <v>46296</v>
      </c>
      <c r="E18" s="20" t="s">
        <v>1265</v>
      </c>
      <c r="F18" s="23" t="s">
        <v>1260</v>
      </c>
    </row>
    <row r="19" spans="2:6" ht="60.75" thickBot="1" x14ac:dyDescent="0.3">
      <c r="B19" s="24" t="s">
        <v>1279</v>
      </c>
      <c r="C19" s="25" t="s">
        <v>1085</v>
      </c>
      <c r="D19" s="26">
        <v>46478</v>
      </c>
      <c r="E19" s="25" t="s">
        <v>1120</v>
      </c>
      <c r="F19" s="18"/>
    </row>
    <row r="20" spans="2:6" x14ac:dyDescent="0.25"/>
    <row r="21" spans="2:6" x14ac:dyDescent="0.25"/>
    <row r="22" spans="2:6" x14ac:dyDescent="0.25"/>
    <row r="23" spans="2:6" x14ac:dyDescent="0.25"/>
  </sheetData>
  <autoFilter ref="B4:F19" xr:uid="{00000000-0001-0000-0B00-000000000000}"/>
  <mergeCells count="1">
    <mergeCell ref="A1:F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FFFF00"/>
  </sheetPr>
  <dimension ref="A1:J46"/>
  <sheetViews>
    <sheetView showGridLines="0" zoomScaleNormal="100" workbookViewId="0">
      <selection activeCell="E4" sqref="E4"/>
    </sheetView>
  </sheetViews>
  <sheetFormatPr baseColWidth="10" defaultColWidth="0" defaultRowHeight="15" zeroHeight="1" x14ac:dyDescent="0.25"/>
  <cols>
    <col min="1" max="1" width="11.42578125" style="3" customWidth="1"/>
    <col min="2" max="2" width="25.5703125" style="3" customWidth="1"/>
    <col min="3" max="3" width="34.28515625" style="3" customWidth="1"/>
    <col min="4" max="5" width="12.28515625" style="3" customWidth="1"/>
    <col min="6" max="7" width="11.42578125" style="3" customWidth="1"/>
    <col min="8" max="8" width="34.140625" style="3" customWidth="1"/>
    <col min="9" max="10" width="8.85546875" style="3" customWidth="1"/>
    <col min="11" max="16384" width="8.85546875" style="3" hidden="1"/>
  </cols>
  <sheetData>
    <row r="1" spans="1:8" x14ac:dyDescent="0.25">
      <c r="A1" s="8" t="s">
        <v>1280</v>
      </c>
      <c r="B1" s="36"/>
      <c r="C1" s="8"/>
      <c r="D1" s="8"/>
      <c r="E1" s="8"/>
      <c r="F1" s="8"/>
      <c r="G1" s="8"/>
      <c r="H1" s="8"/>
    </row>
    <row r="2" spans="1:8" ht="15.75" thickBot="1" x14ac:dyDescent="0.3"/>
    <row r="3" spans="1:8" ht="36.75" thickBot="1" x14ac:dyDescent="0.3">
      <c r="B3" s="6" t="s">
        <v>16</v>
      </c>
      <c r="C3" s="6" t="s">
        <v>1281</v>
      </c>
      <c r="D3" s="6" t="s">
        <v>17</v>
      </c>
      <c r="E3" s="6" t="s">
        <v>1282</v>
      </c>
      <c r="F3" s="6" t="s">
        <v>1283</v>
      </c>
      <c r="G3" s="6" t="s">
        <v>1284</v>
      </c>
      <c r="H3" s="7" t="s">
        <v>26</v>
      </c>
    </row>
    <row r="4" spans="1:8" ht="156.75" thickBot="1" x14ac:dyDescent="0.3">
      <c r="B4" s="57" t="s">
        <v>1285</v>
      </c>
      <c r="C4" s="58" t="s">
        <v>1286</v>
      </c>
      <c r="D4" s="59" t="s">
        <v>1287</v>
      </c>
      <c r="E4" s="60">
        <v>45352</v>
      </c>
      <c r="F4" s="59">
        <v>110</v>
      </c>
      <c r="G4" s="59" t="s">
        <v>1288</v>
      </c>
      <c r="H4" s="42" t="s">
        <v>38</v>
      </c>
    </row>
    <row r="5" spans="1:8" ht="156.75" thickBot="1" x14ac:dyDescent="0.3">
      <c r="B5" s="47" t="s">
        <v>1289</v>
      </c>
      <c r="C5" s="61" t="s">
        <v>1290</v>
      </c>
      <c r="D5" s="47" t="s">
        <v>1291</v>
      </c>
      <c r="E5" s="62">
        <v>45352</v>
      </c>
      <c r="F5" s="48">
        <v>23</v>
      </c>
      <c r="G5" s="48" t="s">
        <v>1292</v>
      </c>
      <c r="H5" s="42" t="s">
        <v>38</v>
      </c>
    </row>
    <row r="6" spans="1:8" ht="156.75" thickBot="1" x14ac:dyDescent="0.3">
      <c r="B6" s="50" t="s">
        <v>1293</v>
      </c>
      <c r="C6" s="63" t="s">
        <v>1294</v>
      </c>
      <c r="D6" s="50" t="s">
        <v>668</v>
      </c>
      <c r="E6" s="56">
        <v>45383</v>
      </c>
      <c r="F6" s="64" t="s">
        <v>1295</v>
      </c>
      <c r="G6" s="64" t="s">
        <v>1296</v>
      </c>
      <c r="H6" s="42" t="s">
        <v>38</v>
      </c>
    </row>
    <row r="7" spans="1:8" ht="156.75" thickBot="1" x14ac:dyDescent="0.3">
      <c r="B7" s="52" t="s">
        <v>1297</v>
      </c>
      <c r="C7" s="65" t="s">
        <v>1298</v>
      </c>
      <c r="D7" s="51" t="s">
        <v>799</v>
      </c>
      <c r="E7" s="53">
        <v>45383</v>
      </c>
      <c r="F7" s="66">
        <v>220</v>
      </c>
      <c r="G7" s="66" t="s">
        <v>864</v>
      </c>
      <c r="H7" s="42" t="s">
        <v>38</v>
      </c>
    </row>
    <row r="8" spans="1:8" ht="156.75" thickBot="1" x14ac:dyDescent="0.3">
      <c r="B8" s="47" t="s">
        <v>1299</v>
      </c>
      <c r="C8" s="61" t="s">
        <v>1300</v>
      </c>
      <c r="D8" s="48" t="s">
        <v>1301</v>
      </c>
      <c r="E8" s="62">
        <v>45444</v>
      </c>
      <c r="F8" s="48">
        <v>66</v>
      </c>
      <c r="G8" s="48" t="s">
        <v>1302</v>
      </c>
      <c r="H8" s="42" t="s">
        <v>38</v>
      </c>
    </row>
    <row r="9" spans="1:8" ht="156.75" thickBot="1" x14ac:dyDescent="0.3">
      <c r="B9" s="47" t="s">
        <v>1303</v>
      </c>
      <c r="C9" s="61" t="s">
        <v>1304</v>
      </c>
      <c r="D9" s="48" t="s">
        <v>1305</v>
      </c>
      <c r="E9" s="62">
        <v>45444</v>
      </c>
      <c r="F9" s="48">
        <v>220</v>
      </c>
      <c r="G9" s="48" t="s">
        <v>864</v>
      </c>
      <c r="H9" s="42" t="s">
        <v>38</v>
      </c>
    </row>
    <row r="10" spans="1:8" ht="204.75" thickBot="1" x14ac:dyDescent="0.3">
      <c r="B10" s="55" t="s">
        <v>1306</v>
      </c>
      <c r="C10" s="15" t="s">
        <v>1307</v>
      </c>
      <c r="D10" s="15" t="s">
        <v>1028</v>
      </c>
      <c r="E10" s="67">
        <v>45474</v>
      </c>
      <c r="F10" s="68">
        <v>500</v>
      </c>
      <c r="G10" s="68" t="s">
        <v>864</v>
      </c>
      <c r="H10" s="42" t="s">
        <v>38</v>
      </c>
    </row>
    <row r="11" spans="1:8" ht="156.75" thickBot="1" x14ac:dyDescent="0.3">
      <c r="B11" s="57" t="s">
        <v>1315</v>
      </c>
      <c r="C11" s="58" t="s">
        <v>1316</v>
      </c>
      <c r="D11" s="59" t="s">
        <v>1317</v>
      </c>
      <c r="E11" s="60">
        <v>45597</v>
      </c>
      <c r="F11" s="59">
        <v>220</v>
      </c>
      <c r="G11" s="59" t="s">
        <v>1318</v>
      </c>
      <c r="H11" s="42" t="s">
        <v>38</v>
      </c>
    </row>
    <row r="12" spans="1:8" ht="156.75" thickBot="1" x14ac:dyDescent="0.3">
      <c r="B12" s="55" t="s">
        <v>1320</v>
      </c>
      <c r="C12" s="15" t="s">
        <v>1321</v>
      </c>
      <c r="D12" s="15" t="s">
        <v>1287</v>
      </c>
      <c r="E12" s="67">
        <v>45627</v>
      </c>
      <c r="F12" s="68">
        <v>110</v>
      </c>
      <c r="G12" s="68" t="s">
        <v>1322</v>
      </c>
      <c r="H12" s="42" t="s">
        <v>38</v>
      </c>
    </row>
    <row r="13" spans="1:8" ht="156.75" thickBot="1" x14ac:dyDescent="0.3">
      <c r="B13" s="55" t="s">
        <v>1323</v>
      </c>
      <c r="C13" s="15" t="s">
        <v>1324</v>
      </c>
      <c r="D13" s="15" t="s">
        <v>1325</v>
      </c>
      <c r="E13" s="67">
        <v>45627</v>
      </c>
      <c r="F13" s="68">
        <v>23</v>
      </c>
      <c r="G13" s="68" t="s">
        <v>1319</v>
      </c>
      <c r="H13" s="42" t="s">
        <v>38</v>
      </c>
    </row>
    <row r="14" spans="1:8" ht="156.75" thickBot="1" x14ac:dyDescent="0.3">
      <c r="B14" s="70" t="s">
        <v>1326</v>
      </c>
      <c r="C14" s="71" t="s">
        <v>1327</v>
      </c>
      <c r="D14" s="71" t="s">
        <v>1328</v>
      </c>
      <c r="E14" s="72">
        <v>45627</v>
      </c>
      <c r="F14" s="73">
        <v>66</v>
      </c>
      <c r="G14" s="73" t="s">
        <v>1329</v>
      </c>
      <c r="H14" s="42" t="s">
        <v>38</v>
      </c>
    </row>
    <row r="15" spans="1:8" ht="156.75" thickBot="1" x14ac:dyDescent="0.3">
      <c r="B15" s="70" t="s">
        <v>1330</v>
      </c>
      <c r="C15" s="71" t="s">
        <v>1331</v>
      </c>
      <c r="D15" s="71" t="s">
        <v>1332</v>
      </c>
      <c r="E15" s="72">
        <v>45627</v>
      </c>
      <c r="F15" s="73">
        <v>220</v>
      </c>
      <c r="G15" s="73" t="s">
        <v>864</v>
      </c>
      <c r="H15" s="42" t="s">
        <v>38</v>
      </c>
    </row>
    <row r="16" spans="1:8" ht="156.75" thickBot="1" x14ac:dyDescent="0.3">
      <c r="B16" s="70" t="s">
        <v>1333</v>
      </c>
      <c r="C16" s="71" t="s">
        <v>1334</v>
      </c>
      <c r="D16" s="71" t="s">
        <v>1335</v>
      </c>
      <c r="E16" s="72">
        <v>45717</v>
      </c>
      <c r="F16" s="73">
        <v>220</v>
      </c>
      <c r="G16" s="73" t="s">
        <v>1336</v>
      </c>
      <c r="H16" s="42" t="s">
        <v>38</v>
      </c>
    </row>
    <row r="17" spans="2:8" ht="156.75" thickBot="1" x14ac:dyDescent="0.3">
      <c r="B17" s="70" t="s">
        <v>1333</v>
      </c>
      <c r="C17" s="71" t="s">
        <v>1334</v>
      </c>
      <c r="D17" s="71" t="s">
        <v>1335</v>
      </c>
      <c r="E17" s="72">
        <v>45717</v>
      </c>
      <c r="F17" s="73">
        <v>220</v>
      </c>
      <c r="G17" s="73" t="s">
        <v>1336</v>
      </c>
      <c r="H17" s="42" t="s">
        <v>38</v>
      </c>
    </row>
    <row r="18" spans="2:8" ht="156.75" thickBot="1" x14ac:dyDescent="0.3">
      <c r="B18" s="70" t="s">
        <v>1337</v>
      </c>
      <c r="C18" s="71" t="s">
        <v>1338</v>
      </c>
      <c r="D18" s="71" t="s">
        <v>1339</v>
      </c>
      <c r="E18" s="72">
        <v>45717</v>
      </c>
      <c r="F18" s="74">
        <v>154</v>
      </c>
      <c r="G18" s="73" t="s">
        <v>1340</v>
      </c>
      <c r="H18" s="42" t="s">
        <v>38</v>
      </c>
    </row>
    <row r="19" spans="2:8" ht="156.75" thickBot="1" x14ac:dyDescent="0.3">
      <c r="B19" s="70" t="s">
        <v>1341</v>
      </c>
      <c r="C19" s="71" t="s">
        <v>1342</v>
      </c>
      <c r="D19" s="71" t="s">
        <v>1343</v>
      </c>
      <c r="E19" s="72">
        <v>45778</v>
      </c>
      <c r="F19" s="73">
        <v>220</v>
      </c>
      <c r="G19" s="73" t="s">
        <v>1344</v>
      </c>
      <c r="H19" s="42" t="s">
        <v>38</v>
      </c>
    </row>
    <row r="20" spans="2:8" ht="156.75" thickBot="1" x14ac:dyDescent="0.3">
      <c r="B20" s="70" t="s">
        <v>1345</v>
      </c>
      <c r="C20" s="71" t="s">
        <v>1346</v>
      </c>
      <c r="D20" s="71" t="s">
        <v>1347</v>
      </c>
      <c r="E20" s="72">
        <v>45809</v>
      </c>
      <c r="F20" s="73">
        <v>220</v>
      </c>
      <c r="G20" s="73">
        <v>200</v>
      </c>
      <c r="H20" s="42" t="s">
        <v>38</v>
      </c>
    </row>
    <row r="21" spans="2:8" ht="156.75" thickBot="1" x14ac:dyDescent="0.3">
      <c r="B21" s="70" t="s">
        <v>1348</v>
      </c>
      <c r="C21" s="71" t="s">
        <v>1349</v>
      </c>
      <c r="D21" s="71" t="s">
        <v>1350</v>
      </c>
      <c r="E21" s="72">
        <v>45839</v>
      </c>
      <c r="F21" s="73">
        <v>23</v>
      </c>
      <c r="G21" s="73" t="s">
        <v>1351</v>
      </c>
      <c r="H21" s="42" t="s">
        <v>38</v>
      </c>
    </row>
    <row r="22" spans="2:8" ht="156.75" thickBot="1" x14ac:dyDescent="0.3">
      <c r="B22" s="70" t="s">
        <v>1352</v>
      </c>
      <c r="C22" s="71" t="s">
        <v>1353</v>
      </c>
      <c r="D22" s="71" t="s">
        <v>1354</v>
      </c>
      <c r="E22" s="72">
        <v>45839</v>
      </c>
      <c r="F22" s="73">
        <v>23</v>
      </c>
      <c r="G22" s="73">
        <v>15</v>
      </c>
      <c r="H22" s="42" t="s">
        <v>38</v>
      </c>
    </row>
    <row r="23" spans="2:8" ht="60.75" thickBot="1" x14ac:dyDescent="0.3">
      <c r="B23" s="70" t="s">
        <v>1355</v>
      </c>
      <c r="C23" s="71" t="s">
        <v>1356</v>
      </c>
      <c r="D23" s="71" t="s">
        <v>1357</v>
      </c>
      <c r="E23" s="72">
        <v>45870</v>
      </c>
      <c r="F23" s="73">
        <v>23</v>
      </c>
      <c r="G23" s="73">
        <v>20</v>
      </c>
      <c r="H23" s="45"/>
    </row>
    <row r="24" spans="2:8" ht="48.75" thickBot="1" x14ac:dyDescent="0.3">
      <c r="B24" s="70" t="s">
        <v>1312</v>
      </c>
      <c r="C24" s="71" t="s">
        <v>1313</v>
      </c>
      <c r="D24" s="71" t="s">
        <v>1314</v>
      </c>
      <c r="E24" s="72">
        <v>45901</v>
      </c>
      <c r="F24" s="73">
        <v>23</v>
      </c>
      <c r="G24" s="73">
        <v>33</v>
      </c>
      <c r="H24" s="42"/>
    </row>
    <row r="25" spans="2:8" ht="96.75" thickBot="1" x14ac:dyDescent="0.3">
      <c r="B25" s="70" t="s">
        <v>1358</v>
      </c>
      <c r="C25" s="80" t="s">
        <v>1359</v>
      </c>
      <c r="D25" s="71" t="s">
        <v>1360</v>
      </c>
      <c r="E25" s="78">
        <v>45901</v>
      </c>
      <c r="F25" s="114">
        <v>220</v>
      </c>
      <c r="G25" s="114" t="s">
        <v>1361</v>
      </c>
      <c r="H25" s="69"/>
    </row>
    <row r="26" spans="2:8" ht="72.75" thickBot="1" x14ac:dyDescent="0.3">
      <c r="B26" s="70" t="s">
        <v>1362</v>
      </c>
      <c r="C26" s="71" t="s">
        <v>1363</v>
      </c>
      <c r="D26" s="71" t="s">
        <v>1364</v>
      </c>
      <c r="E26" s="72">
        <v>45931</v>
      </c>
      <c r="F26" s="73">
        <v>110</v>
      </c>
      <c r="G26" s="73" t="s">
        <v>1365</v>
      </c>
      <c r="H26" s="69"/>
    </row>
    <row r="27" spans="2:8" ht="84.75" thickBot="1" x14ac:dyDescent="0.3">
      <c r="B27" s="70" t="s">
        <v>1366</v>
      </c>
      <c r="C27" s="71" t="s">
        <v>1367</v>
      </c>
      <c r="D27" s="71" t="s">
        <v>1291</v>
      </c>
      <c r="E27" s="72">
        <v>45962</v>
      </c>
      <c r="F27" s="73">
        <v>66</v>
      </c>
      <c r="G27" s="73" t="s">
        <v>1368</v>
      </c>
      <c r="H27" s="69"/>
    </row>
    <row r="28" spans="2:8" ht="96.75" thickBot="1" x14ac:dyDescent="0.3">
      <c r="B28" s="70" t="s">
        <v>1369</v>
      </c>
      <c r="C28" s="71" t="s">
        <v>1370</v>
      </c>
      <c r="D28" s="71" t="s">
        <v>1371</v>
      </c>
      <c r="E28" s="72">
        <v>45962</v>
      </c>
      <c r="F28" s="73">
        <v>220</v>
      </c>
      <c r="G28" s="73" t="s">
        <v>1372</v>
      </c>
      <c r="H28" s="69"/>
    </row>
    <row r="29" spans="2:8" ht="108.75" thickBot="1" x14ac:dyDescent="0.3">
      <c r="B29" s="70" t="s">
        <v>1373</v>
      </c>
      <c r="C29" s="71" t="s">
        <v>1374</v>
      </c>
      <c r="D29" s="71" t="s">
        <v>1375</v>
      </c>
      <c r="E29" s="72">
        <v>45992</v>
      </c>
      <c r="F29" s="73" t="s">
        <v>1376</v>
      </c>
      <c r="G29" s="73" t="s">
        <v>1377</v>
      </c>
      <c r="H29" s="69"/>
    </row>
    <row r="30" spans="2:8" ht="120.75" thickBot="1" x14ac:dyDescent="0.3">
      <c r="B30" s="57" t="s">
        <v>1308</v>
      </c>
      <c r="C30" s="58" t="s">
        <v>1309</v>
      </c>
      <c r="D30" s="59" t="s">
        <v>1310</v>
      </c>
      <c r="E30" s="124">
        <v>46082</v>
      </c>
      <c r="F30" s="59">
        <v>110</v>
      </c>
      <c r="G30" s="59" t="s">
        <v>1311</v>
      </c>
      <c r="H30" s="50"/>
    </row>
    <row r="31" spans="2:8" ht="63.75" thickBot="1" x14ac:dyDescent="0.3">
      <c r="B31" s="75" t="s">
        <v>1378</v>
      </c>
      <c r="C31" s="76" t="s">
        <v>1379</v>
      </c>
      <c r="D31" s="77" t="s">
        <v>1354</v>
      </c>
      <c r="E31" s="78">
        <v>46082</v>
      </c>
      <c r="F31" s="79">
        <v>220</v>
      </c>
      <c r="G31" s="79">
        <v>87.4</v>
      </c>
      <c r="H31" s="69"/>
    </row>
    <row r="32" spans="2:8" ht="84.75" thickBot="1" x14ac:dyDescent="0.3">
      <c r="B32" s="75" t="s">
        <v>1380</v>
      </c>
      <c r="C32" s="76" t="s">
        <v>1381</v>
      </c>
      <c r="D32" s="77" t="s">
        <v>1354</v>
      </c>
      <c r="E32" s="78">
        <v>46082</v>
      </c>
      <c r="F32" s="79">
        <v>110</v>
      </c>
      <c r="G32" s="79" t="s">
        <v>864</v>
      </c>
      <c r="H32" s="69"/>
    </row>
    <row r="33" spans="2:8" ht="84.75" thickBot="1" x14ac:dyDescent="0.3">
      <c r="B33" s="75" t="s">
        <v>1382</v>
      </c>
      <c r="C33" s="76" t="s">
        <v>1383</v>
      </c>
      <c r="D33" s="77" t="s">
        <v>1354</v>
      </c>
      <c r="E33" s="78">
        <v>46082</v>
      </c>
      <c r="F33" s="79">
        <v>110</v>
      </c>
      <c r="G33" s="79" t="s">
        <v>864</v>
      </c>
      <c r="H33" s="69"/>
    </row>
    <row r="34" spans="2:8" ht="53.25" thickBot="1" x14ac:dyDescent="0.3">
      <c r="B34" s="81" t="s">
        <v>1384</v>
      </c>
      <c r="C34" s="82" t="s">
        <v>1385</v>
      </c>
      <c r="D34" s="83" t="s">
        <v>1354</v>
      </c>
      <c r="E34" s="78">
        <v>46082</v>
      </c>
      <c r="F34" s="79">
        <v>110</v>
      </c>
      <c r="G34" s="79" t="s">
        <v>864</v>
      </c>
      <c r="H34" s="69"/>
    </row>
    <row r="35" spans="2:8" ht="144.75" thickBot="1" x14ac:dyDescent="0.3">
      <c r="B35" s="70" t="s">
        <v>1386</v>
      </c>
      <c r="C35" s="80" t="s">
        <v>1387</v>
      </c>
      <c r="D35" s="71" t="s">
        <v>1314</v>
      </c>
      <c r="E35" s="78">
        <v>46143</v>
      </c>
      <c r="F35" s="79">
        <v>23</v>
      </c>
      <c r="G35" s="84" t="s">
        <v>1388</v>
      </c>
      <c r="H35" s="69"/>
    </row>
    <row r="36" spans="2:8" ht="72.75" thickBot="1" x14ac:dyDescent="0.3">
      <c r="B36" s="70" t="s">
        <v>1491</v>
      </c>
      <c r="C36" s="80" t="s">
        <v>1503</v>
      </c>
      <c r="D36" s="71" t="s">
        <v>1492</v>
      </c>
      <c r="E36" s="78">
        <v>46143</v>
      </c>
      <c r="F36" s="79">
        <v>23</v>
      </c>
      <c r="G36" s="84">
        <v>6</v>
      </c>
      <c r="H36" s="69"/>
    </row>
    <row r="37" spans="2:8" ht="72.75" thickBot="1" x14ac:dyDescent="0.3">
      <c r="B37" s="70" t="s">
        <v>1389</v>
      </c>
      <c r="C37" s="80" t="s">
        <v>1390</v>
      </c>
      <c r="D37" s="71" t="s">
        <v>1391</v>
      </c>
      <c r="E37" s="78">
        <v>46419</v>
      </c>
      <c r="F37" s="79">
        <v>69</v>
      </c>
      <c r="G37" s="84" t="s">
        <v>1392</v>
      </c>
      <c r="H37" s="69"/>
    </row>
    <row r="38" spans="2:8" ht="156.75" thickBot="1" x14ac:dyDescent="0.3">
      <c r="B38" s="70" t="s">
        <v>1483</v>
      </c>
      <c r="C38" s="80" t="s">
        <v>1504</v>
      </c>
      <c r="D38" s="71" t="s">
        <v>1482</v>
      </c>
      <c r="E38" s="78">
        <v>46447</v>
      </c>
      <c r="F38" s="79">
        <v>33</v>
      </c>
      <c r="G38" s="84" t="s">
        <v>864</v>
      </c>
      <c r="H38" s="69"/>
    </row>
    <row r="39" spans="2:8" ht="96.75" thickBot="1" x14ac:dyDescent="0.3">
      <c r="B39" s="70" t="s">
        <v>1393</v>
      </c>
      <c r="C39" s="80" t="s">
        <v>1394</v>
      </c>
      <c r="D39" s="71" t="s">
        <v>901</v>
      </c>
      <c r="E39" s="78">
        <v>46478</v>
      </c>
      <c r="F39" s="79">
        <v>220</v>
      </c>
      <c r="G39" s="84" t="s">
        <v>1395</v>
      </c>
      <c r="H39" s="69"/>
    </row>
    <row r="40" spans="2:8" ht="60.75" thickBot="1" x14ac:dyDescent="0.3">
      <c r="B40" s="70" t="s">
        <v>1403</v>
      </c>
      <c r="C40" s="80" t="s">
        <v>1404</v>
      </c>
      <c r="D40" s="71" t="s">
        <v>1287</v>
      </c>
      <c r="E40" s="78">
        <v>46600</v>
      </c>
      <c r="F40" s="79">
        <v>220</v>
      </c>
      <c r="G40" s="84">
        <v>86.2</v>
      </c>
      <c r="H40" s="69"/>
    </row>
    <row r="41" spans="2:8" ht="108.75" thickBot="1" x14ac:dyDescent="0.3">
      <c r="B41" s="70" t="s">
        <v>1405</v>
      </c>
      <c r="C41" s="80" t="s">
        <v>1406</v>
      </c>
      <c r="D41" s="71" t="s">
        <v>1287</v>
      </c>
      <c r="E41" s="78">
        <v>46600</v>
      </c>
      <c r="F41" s="79">
        <v>220</v>
      </c>
      <c r="G41" s="84" t="s">
        <v>864</v>
      </c>
      <c r="H41" s="69"/>
    </row>
    <row r="42" spans="2:8" ht="120.75" thickBot="1" x14ac:dyDescent="0.3">
      <c r="B42" s="70" t="s">
        <v>1396</v>
      </c>
      <c r="C42" s="80" t="s">
        <v>1397</v>
      </c>
      <c r="D42" s="71" t="s">
        <v>1398</v>
      </c>
      <c r="E42" s="78" t="s">
        <v>1399</v>
      </c>
      <c r="F42" s="79">
        <v>110</v>
      </c>
      <c r="G42" s="84" t="s">
        <v>1340</v>
      </c>
      <c r="H42" s="69"/>
    </row>
    <row r="43" spans="2:8" ht="96.75" thickBot="1" x14ac:dyDescent="0.3">
      <c r="B43" s="70" t="s">
        <v>1400</v>
      </c>
      <c r="C43" s="80" t="s">
        <v>1401</v>
      </c>
      <c r="D43" s="71" t="s">
        <v>1371</v>
      </c>
      <c r="E43" s="78" t="s">
        <v>1402</v>
      </c>
      <c r="F43" s="79">
        <v>220</v>
      </c>
      <c r="G43" s="84" t="s">
        <v>1372</v>
      </c>
      <c r="H43" s="69"/>
    </row>
    <row r="44" spans="2:8" x14ac:dyDescent="0.25"/>
    <row r="45" spans="2:8" x14ac:dyDescent="0.25"/>
    <row r="46" spans="2:8" x14ac:dyDescent="0.25"/>
  </sheetData>
  <autoFilter ref="B3:H43" xr:uid="{00000000-0001-0000-0C00-000000000000}"/>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FF0000"/>
  </sheetPr>
  <dimension ref="A1:I27"/>
  <sheetViews>
    <sheetView zoomScaleNormal="100" workbookViewId="0"/>
  </sheetViews>
  <sheetFormatPr baseColWidth="10" defaultColWidth="0" defaultRowHeight="15" zeroHeight="1" x14ac:dyDescent="0.25"/>
  <cols>
    <col min="1" max="1" width="11.42578125" style="3" customWidth="1"/>
    <col min="2" max="2" width="19.42578125" style="3" customWidth="1"/>
    <col min="3" max="5" width="11.42578125" style="3" customWidth="1"/>
    <col min="6" max="6" width="47.5703125" style="3" customWidth="1"/>
    <col min="7" max="8" width="11.42578125" style="3" customWidth="1"/>
    <col min="9" max="9" width="0" style="3" hidden="1" customWidth="1"/>
    <col min="10" max="16384" width="11.42578125" style="3" hidden="1"/>
  </cols>
  <sheetData>
    <row r="1" spans="1:6" x14ac:dyDescent="0.25">
      <c r="A1" s="8" t="s">
        <v>1407</v>
      </c>
      <c r="B1" s="8"/>
      <c r="C1" s="8"/>
      <c r="D1" s="8"/>
      <c r="E1" s="8"/>
      <c r="F1" s="8"/>
    </row>
    <row r="2" spans="1:6" ht="15.75" thickBot="1" x14ac:dyDescent="0.3"/>
    <row r="3" spans="1:6" ht="84.75" thickBot="1" x14ac:dyDescent="0.3">
      <c r="B3" s="6" t="s">
        <v>16</v>
      </c>
      <c r="C3" s="7" t="s">
        <v>1408</v>
      </c>
      <c r="D3" s="7" t="s">
        <v>1409</v>
      </c>
      <c r="E3" s="7" t="s">
        <v>978</v>
      </c>
      <c r="F3" s="7" t="s">
        <v>26</v>
      </c>
    </row>
    <row r="4" spans="1:6" ht="135.75" thickBot="1" x14ac:dyDescent="0.3">
      <c r="B4" s="34" t="s">
        <v>1410</v>
      </c>
      <c r="C4" s="17" t="s">
        <v>1411</v>
      </c>
      <c r="D4" s="14">
        <v>45474</v>
      </c>
      <c r="E4" s="17" t="s">
        <v>1412</v>
      </c>
      <c r="F4" s="18" t="s">
        <v>1413</v>
      </c>
    </row>
    <row r="5" spans="1:6" ht="90.75" thickBot="1" x14ac:dyDescent="0.3">
      <c r="B5" s="34" t="s">
        <v>1414</v>
      </c>
      <c r="C5" s="17" t="s">
        <v>1415</v>
      </c>
      <c r="D5" s="14">
        <v>45536</v>
      </c>
      <c r="E5" s="17" t="s">
        <v>1136</v>
      </c>
      <c r="F5" s="18" t="s">
        <v>1416</v>
      </c>
    </row>
    <row r="6" spans="1:6" ht="36.75" thickBot="1" x14ac:dyDescent="0.3">
      <c r="B6" s="34" t="s">
        <v>1417</v>
      </c>
      <c r="C6" s="17" t="s">
        <v>1418</v>
      </c>
      <c r="D6" s="14">
        <v>45536</v>
      </c>
      <c r="E6" s="17" t="s">
        <v>1136</v>
      </c>
      <c r="F6" s="18"/>
    </row>
    <row r="7" spans="1:6" ht="90.75" thickBot="1" x14ac:dyDescent="0.3">
      <c r="B7" s="34" t="s">
        <v>1419</v>
      </c>
      <c r="C7" s="17" t="s">
        <v>1420</v>
      </c>
      <c r="D7" s="14">
        <v>45931</v>
      </c>
      <c r="E7" s="17" t="s">
        <v>1219</v>
      </c>
      <c r="F7" s="18" t="s">
        <v>1421</v>
      </c>
    </row>
    <row r="8" spans="1:6" ht="90.75" thickBot="1" x14ac:dyDescent="0.3">
      <c r="B8" s="34" t="s">
        <v>1422</v>
      </c>
      <c r="C8" s="17" t="s">
        <v>1420</v>
      </c>
      <c r="D8" s="14">
        <v>45931</v>
      </c>
      <c r="E8" s="17" t="s">
        <v>1219</v>
      </c>
      <c r="F8" s="18" t="s">
        <v>1421</v>
      </c>
    </row>
    <row r="9" spans="1:6" ht="135.75" thickBot="1" x14ac:dyDescent="0.3">
      <c r="B9" s="34" t="s">
        <v>1423</v>
      </c>
      <c r="C9" s="17" t="s">
        <v>1420</v>
      </c>
      <c r="D9" s="14">
        <v>45931</v>
      </c>
      <c r="E9" s="17" t="s">
        <v>1181</v>
      </c>
      <c r="F9" s="18" t="s">
        <v>1424</v>
      </c>
    </row>
    <row r="10" spans="1:6" ht="135.75" thickBot="1" x14ac:dyDescent="0.3">
      <c r="B10" s="34" t="s">
        <v>1425</v>
      </c>
      <c r="C10" s="17" t="s">
        <v>1411</v>
      </c>
      <c r="D10" s="14">
        <v>46023</v>
      </c>
      <c r="E10" s="17" t="s">
        <v>1412</v>
      </c>
      <c r="F10" s="18" t="s">
        <v>1426</v>
      </c>
    </row>
    <row r="11" spans="1:6" ht="36.75" thickBot="1" x14ac:dyDescent="0.3">
      <c r="B11" s="34" t="s">
        <v>1428</v>
      </c>
      <c r="C11" s="16" t="s">
        <v>1427</v>
      </c>
      <c r="D11" s="14">
        <v>46023</v>
      </c>
      <c r="E11" s="17" t="s">
        <v>1136</v>
      </c>
      <c r="F11" s="18"/>
    </row>
    <row r="12" spans="1:6" ht="24.75" thickBot="1" x14ac:dyDescent="0.3">
      <c r="B12" s="34" t="s">
        <v>1429</v>
      </c>
      <c r="C12" s="35" t="s">
        <v>1430</v>
      </c>
      <c r="D12" s="14">
        <v>46023</v>
      </c>
      <c r="E12" s="17" t="s">
        <v>1431</v>
      </c>
      <c r="F12" s="18"/>
    </row>
    <row r="13" spans="1:6" ht="24.75" thickBot="1" x14ac:dyDescent="0.3">
      <c r="B13" s="34" t="s">
        <v>1432</v>
      </c>
      <c r="C13" s="35" t="s">
        <v>1433</v>
      </c>
      <c r="D13" s="14">
        <v>46054</v>
      </c>
      <c r="E13" s="17" t="s">
        <v>1028</v>
      </c>
      <c r="F13" s="18"/>
    </row>
    <row r="14" spans="1:6" ht="36.75" thickBot="1" x14ac:dyDescent="0.3">
      <c r="B14" s="34" t="s">
        <v>1434</v>
      </c>
      <c r="C14" s="35" t="s">
        <v>1435</v>
      </c>
      <c r="D14" s="14">
        <v>46082</v>
      </c>
      <c r="E14" s="17" t="s">
        <v>1436</v>
      </c>
      <c r="F14" s="18"/>
    </row>
    <row r="15" spans="1:6" ht="79.5" thickBot="1" x14ac:dyDescent="0.3">
      <c r="B15" s="34" t="s">
        <v>1437</v>
      </c>
      <c r="C15" s="35" t="s">
        <v>1438</v>
      </c>
      <c r="D15" s="14">
        <v>46143</v>
      </c>
      <c r="E15" s="17" t="s">
        <v>768</v>
      </c>
      <c r="F15" s="18" t="s">
        <v>1439</v>
      </c>
    </row>
    <row r="16" spans="1:6" ht="36.75" thickBot="1" x14ac:dyDescent="0.3">
      <c r="B16" s="34" t="s">
        <v>1440</v>
      </c>
      <c r="C16" s="35" t="s">
        <v>1441</v>
      </c>
      <c r="D16" s="14">
        <v>46174</v>
      </c>
      <c r="E16" s="17" t="s">
        <v>949</v>
      </c>
      <c r="F16" s="18"/>
    </row>
    <row r="17" spans="2:6" ht="48.75" thickBot="1" x14ac:dyDescent="0.3">
      <c r="B17" s="34" t="s">
        <v>1442</v>
      </c>
      <c r="C17" s="35" t="s">
        <v>1443</v>
      </c>
      <c r="D17" s="14">
        <v>46296</v>
      </c>
      <c r="E17" s="17" t="s">
        <v>1444</v>
      </c>
      <c r="F17" s="18"/>
    </row>
    <row r="18" spans="2:6" ht="79.5" thickBot="1" x14ac:dyDescent="0.3">
      <c r="B18" s="34" t="s">
        <v>1445</v>
      </c>
      <c r="C18" s="35" t="s">
        <v>1446</v>
      </c>
      <c r="D18" s="14">
        <v>46844</v>
      </c>
      <c r="E18" s="17" t="s">
        <v>1447</v>
      </c>
      <c r="F18" s="18" t="s">
        <v>1448</v>
      </c>
    </row>
    <row r="19" spans="2:6" ht="24.75" thickBot="1" x14ac:dyDescent="0.3">
      <c r="B19" s="34" t="s">
        <v>1449</v>
      </c>
      <c r="C19" s="35" t="s">
        <v>1450</v>
      </c>
      <c r="D19" s="14">
        <v>46388</v>
      </c>
      <c r="E19" s="17" t="s">
        <v>1028</v>
      </c>
      <c r="F19" s="18"/>
    </row>
    <row r="20" spans="2:6" ht="36.75" thickBot="1" x14ac:dyDescent="0.3">
      <c r="B20" s="34" t="s">
        <v>1451</v>
      </c>
      <c r="C20" s="35" t="s">
        <v>1452</v>
      </c>
      <c r="D20" s="14">
        <v>46419</v>
      </c>
      <c r="E20" s="17" t="s">
        <v>1453</v>
      </c>
      <c r="F20" s="18"/>
    </row>
    <row r="21" spans="2:6" ht="48.75" thickBot="1" x14ac:dyDescent="0.3">
      <c r="B21" s="34" t="s">
        <v>1454</v>
      </c>
      <c r="C21" s="35" t="s">
        <v>1455</v>
      </c>
      <c r="D21" s="14">
        <v>46478</v>
      </c>
      <c r="E21" s="17" t="s">
        <v>1456</v>
      </c>
      <c r="F21" s="18"/>
    </row>
    <row r="22" spans="2:6" ht="60.75" thickBot="1" x14ac:dyDescent="0.3">
      <c r="B22" s="34" t="s">
        <v>1457</v>
      </c>
      <c r="C22" s="35" t="s">
        <v>1458</v>
      </c>
      <c r="D22" s="14">
        <v>46844</v>
      </c>
      <c r="E22" s="17" t="s">
        <v>1213</v>
      </c>
      <c r="F22" s="18"/>
    </row>
    <row r="23" spans="2:6" ht="36.75" thickBot="1" x14ac:dyDescent="0.3">
      <c r="B23" s="34" t="s">
        <v>1459</v>
      </c>
      <c r="C23" s="35" t="s">
        <v>1460</v>
      </c>
      <c r="D23" s="14">
        <v>47423</v>
      </c>
      <c r="E23" s="17" t="s">
        <v>1461</v>
      </c>
      <c r="F23" s="18"/>
    </row>
    <row r="24" spans="2:6" ht="36.75" thickBot="1" x14ac:dyDescent="0.3">
      <c r="B24" s="34" t="s">
        <v>1507</v>
      </c>
      <c r="C24" s="35" t="s">
        <v>1508</v>
      </c>
      <c r="D24" s="14">
        <v>47088</v>
      </c>
      <c r="E24" s="17" t="s">
        <v>1136</v>
      </c>
      <c r="F24" s="18"/>
    </row>
    <row r="25" spans="2:6" x14ac:dyDescent="0.25"/>
    <row r="26" spans="2:6" x14ac:dyDescent="0.25"/>
    <row r="27" spans="2:6" x14ac:dyDescent="0.25"/>
  </sheetData>
  <autoFilter ref="A3:H23" xr:uid="{00000000-0001-0000-0D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Portada</vt:lpstr>
      <vt:lpstr>Indice</vt:lpstr>
      <vt:lpstr>PMGD</vt:lpstr>
      <vt:lpstr>P.Generación</vt:lpstr>
      <vt:lpstr>BESS</vt:lpstr>
      <vt:lpstr>P.Generación SSMM</vt:lpstr>
      <vt:lpstr>ON_STxN</vt:lpstr>
      <vt:lpstr>OA_STxN</vt:lpstr>
      <vt:lpstr>ON_STxZ</vt:lpstr>
      <vt:lpstr>OA_STxZ</vt:lpstr>
      <vt:lpstr>OA_D418</vt:lpstr>
      <vt:lpstr>OEO_D418</vt:lpstr>
      <vt:lpstr>ON_D418</vt:lpstr>
      <vt:lpstr>OPyM_ST</vt:lpstr>
      <vt:lpstr>Art.102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Julio</dc:creator>
  <cp:keywords/>
  <dc:description/>
  <cp:lastModifiedBy>Emilio Molina</cp:lastModifiedBy>
  <cp:revision/>
  <dcterms:created xsi:type="dcterms:W3CDTF">2021-04-08T03:48:37Z</dcterms:created>
  <dcterms:modified xsi:type="dcterms:W3CDTF">2025-10-01T13:08:11Z</dcterms:modified>
  <cp:category/>
  <cp:contentStatus/>
</cp:coreProperties>
</file>